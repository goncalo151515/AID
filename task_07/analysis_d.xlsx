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icopt-my.sharepoint.com/personal/ist1110754_m365_tecnico_pt/Documents/Documentos/.IST/26-27/AID/Projeto/Task7/D/"/>
    </mc:Choice>
  </mc:AlternateContent>
  <xr:revisionPtr revIDLastSave="0" documentId="8_{93701962-79C0-455A-9A66-681D09AE4DF6}" xr6:coauthVersionLast="47" xr6:coauthVersionMax="47" xr10:uidLastSave="{00000000-0000-0000-0000-000000000000}"/>
  <bookViews>
    <workbookView xWindow="-110" yWindow="-110" windowWidth="19420" windowHeight="10300" xr2:uid="{CE015BAF-7591-48BB-88AF-D6B81B603878}"/>
  </bookViews>
  <sheets>
    <sheet name="7D_GDPPC_PTvsPS" sheetId="3" r:id="rId1"/>
    <sheet name="7D_GDPPC_PTvsEEall" sheetId="2" r:id="rId2"/>
    <sheet name="Portugal diff EE" sheetId="1" r:id="rId3"/>
  </sheets>
  <definedNames>
    <definedName name="ExternalData_1" localSheetId="1" hidden="1">'7D_GDPPC_PTvsEEall'!$A$1:$I$34</definedName>
    <definedName name="ExternalData_1" localSheetId="0" hidden="1">'7D_GDPPC_PTvsPS'!$A$1:$C$34</definedName>
    <definedName name="ExternalData_1" localSheetId="2" hidden="1">'Portugal diff EE'!$A$1:$I$34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" i="3" l="1"/>
  <c r="E34" i="3" s="1"/>
  <c r="D33" i="3"/>
  <c r="E33" i="3" s="1"/>
  <c r="D32" i="3"/>
  <c r="E32" i="3" s="1"/>
  <c r="E31" i="3"/>
  <c r="D31" i="3"/>
  <c r="E30" i="3"/>
  <c r="D30" i="3"/>
  <c r="D29" i="3"/>
  <c r="E29" i="3" s="1"/>
  <c r="D28" i="3"/>
  <c r="E28" i="3" s="1"/>
  <c r="E27" i="3"/>
  <c r="D27" i="3"/>
  <c r="D26" i="3"/>
  <c r="E26" i="3" s="1"/>
  <c r="D25" i="3"/>
  <c r="D24" i="3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5" i="3"/>
  <c r="D15" i="3"/>
  <c r="E16" i="3" s="1"/>
  <c r="D14" i="3"/>
  <c r="D13" i="3"/>
  <c r="D12" i="3"/>
  <c r="D11" i="3"/>
  <c r="D10" i="3"/>
  <c r="E10" i="3" s="1"/>
  <c r="D9" i="3"/>
  <c r="E9" i="3" s="1"/>
  <c r="D8" i="3"/>
  <c r="E8" i="3" s="1"/>
  <c r="D7" i="3"/>
  <c r="E6" i="3"/>
  <c r="D6" i="3"/>
  <c r="E7" i="3" s="1"/>
  <c r="D5" i="3"/>
  <c r="D4" i="3"/>
  <c r="D3" i="3"/>
  <c r="E3" i="3" s="1"/>
  <c r="E2" i="3"/>
  <c r="D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  <c r="E25" i="3" l="1"/>
  <c r="E24" i="3"/>
  <c r="E13" i="3"/>
  <c r="E14" i="3"/>
  <c r="E12" i="3"/>
  <c r="E11" i="3"/>
  <c r="E4" i="3"/>
  <c r="E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BF2C1-616E-4CD4-884F-651CD955AB76}" keepAlive="1" name="Query - 7D_GDPPC_PTvsPS" description="Connection to the '7D_GDPPC_PTvsPS' query in the workbook." type="5" refreshedVersion="8" background="1" saveData="1">
    <dbPr connection="Provider=Microsoft.Mashup.OleDb.1;Data Source=$Workbook$;Location=7D_GDPPC_PTvsPS;Extended Properties=&quot;&quot;" command="SELECT * FROM [7D_GDPPC_PTvsPS]"/>
  </connection>
  <connection id="2" xr16:uid="{FBBEA9F5-5CEB-4657-A184-464A894F91B3}" keepAlive="1" name="Query - 7D_GDPPC_PTvsPSall" description="Connection to the '7D_GDPPC_PTvsPSall' query in the workbook." type="5" refreshedVersion="8" background="1" saveData="1">
    <dbPr connection="Provider=Microsoft.Mashup.OleDb.1;Data Source=$Workbook$;Location=7D_GDPPC_PTvsPSall;Extended Properties=&quot;&quot;" command="SELECT * FROM [7D_GDPPC_PTvsPSall]"/>
  </connection>
  <connection id="3" xr16:uid="{35E5C142-B0B0-4B49-B68C-AE0072374941}" keepAlive="1" name="Query - 7D_GDPPC_PTvsPSall (2)" description="Connection to the '7D_GDPPC_PTvsPSall (2)' query in the workbook." type="5" refreshedVersion="8" background="1" saveData="1">
    <dbPr connection="Provider=Microsoft.Mashup.OleDb.1;Data Source=$Workbook$;Location=&quot;7D_GDPPC_PTvsPSall (2)&quot;;Extended Properties=&quot;&quot;" command="SELECT * FROM [7D_GDPPC_PTvsPSall (2)]"/>
  </connection>
</connections>
</file>

<file path=xl/sharedStrings.xml><?xml version="1.0" encoding="utf-8"?>
<sst xmlns="http://schemas.openxmlformats.org/spreadsheetml/2006/main" count="23" uniqueCount="20">
  <si>
    <t>Year</t>
  </si>
  <si>
    <t>Portugal/GDP per capita</t>
  </si>
  <si>
    <t>Czechia/GDP per capita</t>
  </si>
  <si>
    <t>Hungary/GDP per capita</t>
  </si>
  <si>
    <t>Poland/GDP per capita</t>
  </si>
  <si>
    <t>Romania/GDP per capita</t>
  </si>
  <si>
    <t>Estonia/GDP per capita</t>
  </si>
  <si>
    <t>Latvia/GDP per capita</t>
  </si>
  <si>
    <t>Lithuania/GDP per capita</t>
  </si>
  <si>
    <t>Hungary</t>
  </si>
  <si>
    <t>Poland</t>
  </si>
  <si>
    <t>Romania</t>
  </si>
  <si>
    <t>Estonia</t>
  </si>
  <si>
    <t>Latvia</t>
  </si>
  <si>
    <t>Lithuania</t>
  </si>
  <si>
    <t>Czechia</t>
  </si>
  <si>
    <t>Focus/GDP per capita</t>
  </si>
  <si>
    <t>Post-Soviet/GDP per capita</t>
  </si>
  <si>
    <t>Difference</t>
  </si>
  <si>
    <t>Divergent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</si>
</sst>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b/>
        <i val="0"/>
      </font>
    </dxf>
    <dxf>
      <font>
        <b val="0"/>
        <i val="0"/>
        <color rgb="FFFF000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45B835-AB50-46CD-A5F8-DBE7A3DA3B1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Year" tableColumnId="1"/>
      <queryTableField id="2" name="Focus/GDP per capita" tableColumnId="2"/>
      <queryTableField id="3" name="Post-Soviet/GDP per capita" tableColumnId="3"/>
      <queryTableField id="4" dataBound="0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69760B-C389-4EE7-9EE6-2E3D261DF103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Portugal/GDP per capita" tableColumnId="2"/>
      <queryTableField id="3" name="Czechia/GDP per capita" tableColumnId="3"/>
      <queryTableField id="4" name="Hungary/GDP per capita" tableColumnId="4"/>
      <queryTableField id="5" name="Poland/GDP per capita" tableColumnId="5"/>
      <queryTableField id="6" name="Romania/GDP per capita" tableColumnId="6"/>
      <queryTableField id="7" name="Estonia/GDP per capita" tableColumnId="7"/>
      <queryTableField id="8" name="Latvia/GDP per capita" tableColumnId="8"/>
      <queryTableField id="9" name="Lithuania/GDP per capita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72028DE-F1A5-47B5-91A6-63C28122245E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Portugal/GDP per capita" tableColumnId="2"/>
      <queryTableField id="3" name="Czechia/GDP per capita" tableColumnId="3"/>
      <queryTableField id="4" name="Hungary/GDP per capita" tableColumnId="4"/>
      <queryTableField id="5" name="Poland/GDP per capita" tableColumnId="5"/>
      <queryTableField id="6" name="Romania/GDP per capita" tableColumnId="6"/>
      <queryTableField id="7" name="Estonia/GDP per capita" tableColumnId="7"/>
      <queryTableField id="8" name="Latvia/GDP per capita" tableColumnId="8"/>
      <queryTableField id="9" name="Lithuania/GDP per capit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C32059-B7E1-49A5-B1E2-0065462E0BDF}" name="_7D_GDPPC_PTvsPS" displayName="_7D_GDPPC_PTvsPS" ref="A1:E34" tableType="queryTable" totalsRowShown="0">
  <autoFilter ref="A1:E34" xr:uid="{9EC32059-B7E1-49A5-B1E2-0065462E0BDF}"/>
  <tableColumns count="5">
    <tableColumn id="1" xr3:uid="{FBB273BD-714C-4BB3-9801-358A1CD3E5D8}" uniqueName="1" name="Year" queryTableFieldId="1"/>
    <tableColumn id="2" xr3:uid="{A354FB1E-0DFE-419D-8822-0F9DE61C775E}" uniqueName="2" name="Focus/GDP per capita" queryTableFieldId="2" dataDxfId="2"/>
    <tableColumn id="3" xr3:uid="{2031FA82-9942-4898-AC6F-98D173A89773}" uniqueName="3" name="Post-Soviet/GDP per capita" queryTableFieldId="3" dataDxfId="0"/>
    <tableColumn id="4" xr3:uid="{9CCE1EA1-AA26-4236-BBDD-E86D6E4566C9}" uniqueName="4" name="Difference" queryTableFieldId="4" dataDxfId="1">
      <calculatedColumnFormula>_7D_GDPPC_PTvsPS[[#This Row],[Post-Soviet/GDP per capita]]-_7D_GDPPC_PTvsPS[[#This Row],[Focus/GDP per capita]]</calculatedColumnFormula>
    </tableColumn>
    <tableColumn id="5" xr3:uid="{69966884-6B81-46DD-972F-FA2E529C7998}" uniqueName="5" name="Divergent" queryTableFieldId="5" dataDxfId="3">
      <calculatedColumnFormula>IF(_7D_GDPPC_PTvsPS[[#This Row],[Year]]=1990,"first",IF(_7D_GDPPC_PTvsPS[[#This Row],[Difference]]&lt;D1,"yes","no"))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E55A3-7EB6-4889-9813-E69A97064DE7}" name="_7D_GDPPC_PTvsPSall" displayName="_7D_GDPPC_PTvsPSall" ref="A1:I34" tableType="queryTable" totalsRowShown="0">
  <autoFilter ref="A1:I34" xr:uid="{9F7E55A3-7EB6-4889-9813-E69A97064DE7}"/>
  <tableColumns count="9">
    <tableColumn id="1" xr3:uid="{C3768B41-1EFA-4945-9E62-E33B0C52BA90}" uniqueName="1" name="Year" queryTableFieldId="1"/>
    <tableColumn id="2" xr3:uid="{B0292C4C-A46F-4942-9C22-752C8B4EFB3D}" uniqueName="2" name="Portugal/GDP per capita" queryTableFieldId="2" dataDxfId="13"/>
    <tableColumn id="3" xr3:uid="{A533DB13-2FBC-47F0-B513-B318948D7D67}" uniqueName="3" name="Czechia/GDP per capita" queryTableFieldId="3" dataDxfId="12"/>
    <tableColumn id="4" xr3:uid="{A6C9DBE2-D414-45E7-A0D3-303AD98C4FB8}" uniqueName="4" name="Hungary/GDP per capita" queryTableFieldId="4" dataDxfId="11"/>
    <tableColumn id="5" xr3:uid="{BB79FDC9-3FF3-4F2D-B1EB-CCBF2160E2FE}" uniqueName="5" name="Poland/GDP per capita" queryTableFieldId="5" dataDxfId="10"/>
    <tableColumn id="6" xr3:uid="{75EB2F87-4F2C-4E40-9CAD-C0843B1D0BEE}" uniqueName="6" name="Romania/GDP per capita" queryTableFieldId="6" dataDxfId="9"/>
    <tableColumn id="7" xr3:uid="{31261928-3C1D-43F1-91D0-2FE413480E53}" uniqueName="7" name="Estonia/GDP per capita" queryTableFieldId="7" dataDxfId="8"/>
    <tableColumn id="8" xr3:uid="{F7710557-4277-4574-ADC4-8695B711FEE6}" uniqueName="8" name="Latvia/GDP per capita" queryTableFieldId="8" dataDxfId="7"/>
    <tableColumn id="9" xr3:uid="{C7CC4C62-4B2F-49CF-81EB-F45AB2A8868B}" uniqueName="9" name="Lithuania/GDP per capita" queryTableFieldId="9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AD78B-BEA2-4E92-AB30-7D778C378132}" name="_7D_GDPPC_PTvsPSall3" displayName="_7D_GDPPC_PTvsPSall3" ref="A1:I34" tableType="queryTable" totalsRowShown="0">
  <autoFilter ref="A1:I34" xr:uid="{00DAD78B-BEA2-4E92-AB30-7D778C378132}"/>
  <tableColumns count="9">
    <tableColumn id="1" xr3:uid="{C32B018A-61ED-4B61-A3E1-D82B0D68E13A}" uniqueName="1" name="Year" queryTableFieldId="1"/>
    <tableColumn id="2" xr3:uid="{D99CC7FE-8336-40F3-B464-93FE1FEC0585}" uniqueName="2" name="Portugal/GDP per capita" queryTableFieldId="2" dataDxfId="14"/>
    <tableColumn id="3" xr3:uid="{C56437F9-5D73-4EEF-9E47-4109DC52A349}" uniqueName="3" name="Czechia" queryTableFieldId="3" dataDxfId="15"/>
    <tableColumn id="4" xr3:uid="{29BEAC81-21F6-4383-BE83-8EC3CABA0D76}" uniqueName="4" name="Hungary" queryTableFieldId="4" dataDxfId="21"/>
    <tableColumn id="5" xr3:uid="{FDFEA6E3-AF87-4D63-8085-3863F01FC454}" uniqueName="5" name="Poland" queryTableFieldId="5" dataDxfId="20"/>
    <tableColumn id="6" xr3:uid="{A742CCEF-BEEF-40E0-A54C-55798B792782}" uniqueName="6" name="Romania" queryTableFieldId="6" dataDxfId="19"/>
    <tableColumn id="7" xr3:uid="{F2F22629-B57C-4B9E-9098-B8D4E37821AE}" uniqueName="7" name="Estonia" queryTableFieldId="7" dataDxfId="18"/>
    <tableColumn id="8" xr3:uid="{CEF7A2C8-CBF0-4363-8EA4-6D5AD20736AB}" uniqueName="8" name="Latvia" queryTableFieldId="8" dataDxfId="17"/>
    <tableColumn id="9" xr3:uid="{717288A4-1AE5-451D-8384-9530F7551937}" uniqueName="9" name="Lithuania" queryTableFieldId="9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9B31-08AF-4511-80AE-A535D43AAAD1}">
  <dimension ref="A1:E34"/>
  <sheetViews>
    <sheetView tabSelected="1" workbookViewId="0">
      <selection activeCell="F12" sqref="F12"/>
    </sheetView>
  </sheetViews>
  <sheetFormatPr defaultRowHeight="14.5" x14ac:dyDescent="0.35"/>
  <cols>
    <col min="2" max="2" width="21.36328125" bestFit="1" customWidth="1"/>
    <col min="3" max="3" width="25.90625" bestFit="1" customWidth="1"/>
    <col min="4" max="4" width="11.90625" bestFit="1" customWidth="1"/>
  </cols>
  <sheetData>
    <row r="1" spans="1:5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>
        <v>1990</v>
      </c>
      <c r="B2" s="1">
        <v>17256</v>
      </c>
      <c r="C2" s="1">
        <v>15620.666666666701</v>
      </c>
      <c r="D2" s="1">
        <f>_7D_GDPPC_PTvsPS[[#This Row],[Post-Soviet/GDP per capita]]-_7D_GDPPC_PTvsPS[[#This Row],[Focus/GDP per capita]]</f>
        <v>-1635.3333333332994</v>
      </c>
      <c r="E2" t="str">
        <f>IF(_7D_GDPPC_PTvsPS[[#This Row],[Year]]=1990,"first",IF(_7D_GDPPC_PTvsPS[[#This Row],[Difference]]&lt;D1,"yes","no"))</f>
        <v>first</v>
      </c>
    </row>
    <row r="3" spans="1:5" x14ac:dyDescent="0.35">
      <c r="A3">
        <v>1991</v>
      </c>
      <c r="B3" s="1">
        <v>17949.809000000001</v>
      </c>
      <c r="C3" s="1">
        <v>14041.626</v>
      </c>
      <c r="D3" s="1">
        <f>_7D_GDPPC_PTvsPS[[#This Row],[Post-Soviet/GDP per capita]]-_7D_GDPPC_PTvsPS[[#This Row],[Focus/GDP per capita]]</f>
        <v>-3908.1830000000009</v>
      </c>
      <c r="E3" t="str">
        <f>IF(_7D_GDPPC_PTvsPS[[#This Row],[Year]]=1990,"first",IF(_7D_GDPPC_PTvsPS[[#This Row],[Difference]]&lt;D2,"yes","no"))</f>
        <v>yes</v>
      </c>
    </row>
    <row r="4" spans="1:5" x14ac:dyDescent="0.35">
      <c r="A4">
        <v>1992</v>
      </c>
      <c r="B4" s="1">
        <v>18598.526999999998</v>
      </c>
      <c r="C4" s="1">
        <v>10955.5073333333</v>
      </c>
      <c r="D4" s="1">
        <f>_7D_GDPPC_PTvsPS[[#This Row],[Post-Soviet/GDP per capita]]-_7D_GDPPC_PTvsPS[[#This Row],[Focus/GDP per capita]]</f>
        <v>-7643.019666666698</v>
      </c>
      <c r="E4" t="str">
        <f>IF(_7D_GDPPC_PTvsPS[[#This Row],[Year]]=1990,"first",IF(_7D_GDPPC_PTvsPS[[#This Row],[Difference]]&lt;D3,"yes","no"))</f>
        <v>yes</v>
      </c>
    </row>
    <row r="5" spans="1:5" x14ac:dyDescent="0.35">
      <c r="A5">
        <v>1993</v>
      </c>
      <c r="B5" s="1">
        <v>18519.934000000001</v>
      </c>
      <c r="C5" s="1">
        <v>9755.8706666667003</v>
      </c>
      <c r="D5" s="1">
        <f>_7D_GDPPC_PTvsPS[[#This Row],[Post-Soviet/GDP per capita]]-_7D_GDPPC_PTvsPS[[#This Row],[Focus/GDP per capita]]</f>
        <v>-8764.0633333333008</v>
      </c>
      <c r="E5" t="str">
        <f>IF(_7D_GDPPC_PTvsPS[[#This Row],[Year]]=1990,"first",IF(_7D_GDPPC_PTvsPS[[#This Row],[Difference]]&lt;D4,"yes","no"))</f>
        <v>yes</v>
      </c>
    </row>
    <row r="6" spans="1:5" x14ac:dyDescent="0.35">
      <c r="A6">
        <v>1994</v>
      </c>
      <c r="B6" s="1">
        <v>18819.026999999998</v>
      </c>
      <c r="C6" s="1">
        <v>9534.7777999999998</v>
      </c>
      <c r="D6" s="1">
        <f>_7D_GDPPC_PTvsPS[[#This Row],[Post-Soviet/GDP per capita]]-_7D_GDPPC_PTvsPS[[#This Row],[Focus/GDP per capita]]</f>
        <v>-9284.2491999999984</v>
      </c>
      <c r="E6" t="str">
        <f>IF(_7D_GDPPC_PTvsPS[[#This Row],[Year]]=1990,"first",IF(_7D_GDPPC_PTvsPS[[#This Row],[Difference]]&lt;D5,"yes","no"))</f>
        <v>yes</v>
      </c>
    </row>
    <row r="7" spans="1:5" x14ac:dyDescent="0.35">
      <c r="A7">
        <v>1995</v>
      </c>
      <c r="B7" s="1">
        <v>19262.030999999999</v>
      </c>
      <c r="C7" s="1">
        <v>9963.2726666667004</v>
      </c>
      <c r="D7" s="1">
        <f>_7D_GDPPC_PTvsPS[[#This Row],[Post-Soviet/GDP per capita]]-_7D_GDPPC_PTvsPS[[#This Row],[Focus/GDP per capita]]</f>
        <v>-9298.7583333332987</v>
      </c>
      <c r="E7" t="str">
        <f>IF(_7D_GDPPC_PTvsPS[[#This Row],[Year]]=1990,"first",IF(_7D_GDPPC_PTvsPS[[#This Row],[Difference]]&lt;D6,"yes","no"))</f>
        <v>yes</v>
      </c>
    </row>
    <row r="8" spans="1:5" x14ac:dyDescent="0.35">
      <c r="A8">
        <v>1996</v>
      </c>
      <c r="B8" s="1">
        <v>19939.310000000001</v>
      </c>
      <c r="C8" s="1">
        <v>10429.543666666699</v>
      </c>
      <c r="D8" s="1">
        <f>_7D_GDPPC_PTvsPS[[#This Row],[Post-Soviet/GDP per capita]]-_7D_GDPPC_PTvsPS[[#This Row],[Focus/GDP per capita]]</f>
        <v>-9509.7663333333021</v>
      </c>
      <c r="E8" t="str">
        <f>IF(_7D_GDPPC_PTvsPS[[#This Row],[Year]]=1990,"first",IF(_7D_GDPPC_PTvsPS[[#This Row],[Difference]]&lt;D7,"yes","no"))</f>
        <v>yes</v>
      </c>
    </row>
    <row r="9" spans="1:5" x14ac:dyDescent="0.35">
      <c r="A9">
        <v>1997</v>
      </c>
      <c r="B9" s="1">
        <v>20810.178</v>
      </c>
      <c r="C9" s="1">
        <v>11480.3046666667</v>
      </c>
      <c r="D9" s="1">
        <f>_7D_GDPPC_PTvsPS[[#This Row],[Post-Soviet/GDP per capita]]-_7D_GDPPC_PTvsPS[[#This Row],[Focus/GDP per capita]]</f>
        <v>-9329.8733333333003</v>
      </c>
      <c r="E9" t="str">
        <f>IF(_7D_GDPPC_PTvsPS[[#This Row],[Year]]=1990,"first",IF(_7D_GDPPC_PTvsPS[[#This Row],[Difference]]&lt;D8,"yes","no"))</f>
        <v>no</v>
      </c>
    </row>
    <row r="10" spans="1:5" x14ac:dyDescent="0.35">
      <c r="A10">
        <v>1998</v>
      </c>
      <c r="B10" s="1">
        <v>21782.12</v>
      </c>
      <c r="C10" s="1">
        <v>12134.963</v>
      </c>
      <c r="D10" s="1">
        <f>_7D_GDPPC_PTvsPS[[#This Row],[Post-Soviet/GDP per capita]]-_7D_GDPPC_PTvsPS[[#This Row],[Focus/GDP per capita]]</f>
        <v>-9647.1569999999992</v>
      </c>
      <c r="E10" t="str">
        <f>IF(_7D_GDPPC_PTvsPS[[#This Row],[Year]]=1990,"first",IF(_7D_GDPPC_PTvsPS[[#This Row],[Difference]]&lt;D9,"yes","no"))</f>
        <v>yes</v>
      </c>
    </row>
    <row r="11" spans="1:5" x14ac:dyDescent="0.35">
      <c r="A11">
        <v>1999</v>
      </c>
      <c r="B11" s="1">
        <v>22589.921999999999</v>
      </c>
      <c r="C11" s="1">
        <v>12126.4025</v>
      </c>
      <c r="D11" s="1">
        <f>_7D_GDPPC_PTvsPS[[#This Row],[Post-Soviet/GDP per capita]]-_7D_GDPPC_PTvsPS[[#This Row],[Focus/GDP per capita]]</f>
        <v>-10463.519499999999</v>
      </c>
      <c r="E11" t="str">
        <f>IF(_7D_GDPPC_PTvsPS[[#This Row],[Year]]=1990,"first",IF(_7D_GDPPC_PTvsPS[[#This Row],[Difference]]&lt;D10,"yes","no"))</f>
        <v>yes</v>
      </c>
    </row>
    <row r="12" spans="1:5" x14ac:dyDescent="0.35">
      <c r="A12">
        <v>2000</v>
      </c>
      <c r="B12" s="1">
        <v>23372.041000000001</v>
      </c>
      <c r="C12" s="1">
        <v>12974.5296666667</v>
      </c>
      <c r="D12" s="1">
        <f>_7D_GDPPC_PTvsPS[[#This Row],[Post-Soviet/GDP per capita]]-_7D_GDPPC_PTvsPS[[#This Row],[Focus/GDP per capita]]</f>
        <v>-10397.511333333301</v>
      </c>
      <c r="E12" t="str">
        <f>IF(_7D_GDPPC_PTvsPS[[#This Row],[Year]]=1990,"first",IF(_7D_GDPPC_PTvsPS[[#This Row],[Difference]]&lt;D11,"yes","no"))</f>
        <v>no</v>
      </c>
    </row>
    <row r="13" spans="1:5" x14ac:dyDescent="0.35">
      <c r="A13">
        <v>2001</v>
      </c>
      <c r="B13" s="1">
        <v>23751.370999999999</v>
      </c>
      <c r="C13" s="1">
        <v>13802.388999999999</v>
      </c>
      <c r="D13" s="1">
        <f>_7D_GDPPC_PTvsPS[[#This Row],[Post-Soviet/GDP per capita]]-_7D_GDPPC_PTvsPS[[#This Row],[Focus/GDP per capita]]</f>
        <v>-9948.982</v>
      </c>
      <c r="E13" t="str">
        <f>IF(_7D_GDPPC_PTvsPS[[#This Row],[Year]]=1990,"first",IF(_7D_GDPPC_PTvsPS[[#This Row],[Difference]]&lt;D12,"yes","no"))</f>
        <v>no</v>
      </c>
    </row>
    <row r="14" spans="1:5" x14ac:dyDescent="0.35">
      <c r="A14">
        <v>2002</v>
      </c>
      <c r="B14" s="1">
        <v>23896.458999999999</v>
      </c>
      <c r="C14" s="1">
        <v>14698.4153333333</v>
      </c>
      <c r="D14" s="1">
        <f>_7D_GDPPC_PTvsPS[[#This Row],[Post-Soviet/GDP per capita]]-_7D_GDPPC_PTvsPS[[#This Row],[Focus/GDP per capita]]</f>
        <v>-9198.0436666666992</v>
      </c>
      <c r="E14" t="str">
        <f>IF(_7D_GDPPC_PTvsPS[[#This Row],[Year]]=1990,"first",IF(_7D_GDPPC_PTvsPS[[#This Row],[Difference]]&lt;D13,"yes","no"))</f>
        <v>no</v>
      </c>
    </row>
    <row r="15" spans="1:5" x14ac:dyDescent="0.35">
      <c r="A15">
        <v>2003</v>
      </c>
      <c r="B15" s="1">
        <v>23677.52</v>
      </c>
      <c r="C15" s="1">
        <v>15943.791666666701</v>
      </c>
      <c r="D15" s="1">
        <f>_7D_GDPPC_PTvsPS[[#This Row],[Post-Soviet/GDP per capita]]-_7D_GDPPC_PTvsPS[[#This Row],[Focus/GDP per capita]]</f>
        <v>-7733.7283333332998</v>
      </c>
      <c r="E15" t="str">
        <f>IF(_7D_GDPPC_PTvsPS[[#This Row],[Year]]=1990,"first",IF(_7D_GDPPC_PTvsPS[[#This Row],[Difference]]&lt;D14,"yes","no"))</f>
        <v>no</v>
      </c>
    </row>
    <row r="16" spans="1:5" x14ac:dyDescent="0.35">
      <c r="A16">
        <v>2004</v>
      </c>
      <c r="B16" s="1">
        <v>24142.766</v>
      </c>
      <c r="C16" s="1">
        <v>17056.902333333299</v>
      </c>
      <c r="D16" s="1">
        <f>_7D_GDPPC_PTvsPS[[#This Row],[Post-Soviet/GDP per capita]]-_7D_GDPPC_PTvsPS[[#This Row],[Focus/GDP per capita]]</f>
        <v>-7085.8636666667007</v>
      </c>
      <c r="E16" t="str">
        <f>IF(_7D_GDPPC_PTvsPS[[#This Row],[Year]]=1990,"first",IF(_7D_GDPPC_PTvsPS[[#This Row],[Difference]]&lt;D15,"yes","no"))</f>
        <v>no</v>
      </c>
    </row>
    <row r="17" spans="1:5" x14ac:dyDescent="0.35">
      <c r="A17">
        <v>2005</v>
      </c>
      <c r="B17" s="1">
        <v>24377.95</v>
      </c>
      <c r="C17" s="1">
        <v>18668.7156666667</v>
      </c>
      <c r="D17" s="1">
        <f>_7D_GDPPC_PTvsPS[[#This Row],[Post-Soviet/GDP per capita]]-_7D_GDPPC_PTvsPS[[#This Row],[Focus/GDP per capita]]</f>
        <v>-5709.234333333301</v>
      </c>
      <c r="E17" t="str">
        <f>IF(_7D_GDPPC_PTvsPS[[#This Row],[Year]]=1990,"first",IF(_7D_GDPPC_PTvsPS[[#This Row],[Difference]]&lt;D16,"yes","no"))</f>
        <v>no</v>
      </c>
    </row>
    <row r="18" spans="1:5" x14ac:dyDescent="0.35">
      <c r="A18">
        <v>2006</v>
      </c>
      <c r="B18" s="1">
        <v>24809.040000000001</v>
      </c>
      <c r="C18" s="1">
        <v>20541.188333333299</v>
      </c>
      <c r="D18" s="1">
        <f>_7D_GDPPC_PTvsPS[[#This Row],[Post-Soviet/GDP per capita]]-_7D_GDPPC_PTvsPS[[#This Row],[Focus/GDP per capita]]</f>
        <v>-4267.8516666667019</v>
      </c>
      <c r="E18" t="str">
        <f>IF(_7D_GDPPC_PTvsPS[[#This Row],[Year]]=1990,"first",IF(_7D_GDPPC_PTvsPS[[#This Row],[Difference]]&lt;D17,"yes","no"))</f>
        <v>no</v>
      </c>
    </row>
    <row r="19" spans="1:5" x14ac:dyDescent="0.35">
      <c r="A19">
        <v>2007</v>
      </c>
      <c r="B19" s="1">
        <v>25477.205000000002</v>
      </c>
      <c r="C19" s="1">
        <v>22452.903666666702</v>
      </c>
      <c r="D19" s="1">
        <f>_7D_GDPPC_PTvsPS[[#This Row],[Post-Soviet/GDP per capita]]-_7D_GDPPC_PTvsPS[[#This Row],[Focus/GDP per capita]]</f>
        <v>-3024.3013333333001</v>
      </c>
      <c r="E19" t="str">
        <f>IF(_7D_GDPPC_PTvsPS[[#This Row],[Year]]=1990,"first",IF(_7D_GDPPC_PTvsPS[[#This Row],[Difference]]&lt;D18,"yes","no"))</f>
        <v>no</v>
      </c>
    </row>
    <row r="20" spans="1:5" x14ac:dyDescent="0.35">
      <c r="A20">
        <v>2008</v>
      </c>
      <c r="B20" s="1">
        <v>25590.880000000001</v>
      </c>
      <c r="C20" s="1">
        <v>21883.674666666699</v>
      </c>
      <c r="D20" s="1">
        <f>_7D_GDPPC_PTvsPS[[#This Row],[Post-Soviet/GDP per capita]]-_7D_GDPPC_PTvsPS[[#This Row],[Focus/GDP per capita]]</f>
        <v>-3707.2053333333024</v>
      </c>
      <c r="E20" t="str">
        <f>IF(_7D_GDPPC_PTvsPS[[#This Row],[Year]]=1990,"first",IF(_7D_GDPPC_PTvsPS[[#This Row],[Difference]]&lt;D19,"yes","no"))</f>
        <v>yes</v>
      </c>
    </row>
    <row r="21" spans="1:5" x14ac:dyDescent="0.35">
      <c r="A21">
        <v>2009</v>
      </c>
      <c r="B21" s="1">
        <v>24902.456999999999</v>
      </c>
      <c r="C21" s="1">
        <v>18701.169999999998</v>
      </c>
      <c r="D21" s="1">
        <f>_7D_GDPPC_PTvsPS[[#This Row],[Post-Soviet/GDP per capita]]-_7D_GDPPC_PTvsPS[[#This Row],[Focus/GDP per capita]]</f>
        <v>-6201.2870000000003</v>
      </c>
      <c r="E21" t="str">
        <f>IF(_7D_GDPPC_PTvsPS[[#This Row],[Year]]=1990,"first",IF(_7D_GDPPC_PTvsPS[[#This Row],[Difference]]&lt;D20,"yes","no"))</f>
        <v>yes</v>
      </c>
    </row>
    <row r="22" spans="1:5" x14ac:dyDescent="0.35">
      <c r="A22">
        <v>2010</v>
      </c>
      <c r="B22" s="1">
        <v>25463.164000000001</v>
      </c>
      <c r="C22" s="1">
        <v>18839.1383333333</v>
      </c>
      <c r="D22" s="1">
        <f>_7D_GDPPC_PTvsPS[[#This Row],[Post-Soviet/GDP per capita]]-_7D_GDPPC_PTvsPS[[#This Row],[Focus/GDP per capita]]</f>
        <v>-6624.025666666701</v>
      </c>
      <c r="E22" t="str">
        <f>IF(_7D_GDPPC_PTvsPS[[#This Row],[Year]]=1990,"first",IF(_7D_GDPPC_PTvsPS[[#This Row],[Difference]]&lt;D21,"yes","no"))</f>
        <v>yes</v>
      </c>
    </row>
    <row r="23" spans="1:5" x14ac:dyDescent="0.35">
      <c r="A23">
        <v>2011</v>
      </c>
      <c r="B23" s="1">
        <v>25133</v>
      </c>
      <c r="C23" s="1">
        <v>20222.666666666701</v>
      </c>
      <c r="D23" s="1">
        <f>_7D_GDPPC_PTvsPS[[#This Row],[Post-Soviet/GDP per capita]]-_7D_GDPPC_PTvsPS[[#This Row],[Focus/GDP per capita]]</f>
        <v>-4910.3333333332994</v>
      </c>
      <c r="E23" t="str">
        <f>IF(_7D_GDPPC_PTvsPS[[#This Row],[Year]]=1990,"first",IF(_7D_GDPPC_PTvsPS[[#This Row],[Difference]]&lt;D22,"yes","no"))</f>
        <v>no</v>
      </c>
    </row>
    <row r="24" spans="1:5" x14ac:dyDescent="0.35">
      <c r="A24">
        <v>2012</v>
      </c>
      <c r="B24" s="1">
        <v>24211.437999999998</v>
      </c>
      <c r="C24" s="1">
        <v>21353.1116666667</v>
      </c>
      <c r="D24" s="1">
        <f>_7D_GDPPC_PTvsPS[[#This Row],[Post-Soviet/GDP per capita]]-_7D_GDPPC_PTvsPS[[#This Row],[Focus/GDP per capita]]</f>
        <v>-2858.326333333298</v>
      </c>
      <c r="E24" t="str">
        <f>IF(_7D_GDPPC_PTvsPS[[#This Row],[Year]]=1990,"first",IF(_7D_GDPPC_PTvsPS[[#This Row],[Difference]]&lt;D23,"yes","no"))</f>
        <v>no</v>
      </c>
    </row>
    <row r="25" spans="1:5" x14ac:dyDescent="0.35">
      <c r="A25">
        <v>2013</v>
      </c>
      <c r="B25" s="1">
        <v>24119.96</v>
      </c>
      <c r="C25" s="1">
        <v>22023.904333333299</v>
      </c>
      <c r="D25" s="1">
        <f>_7D_GDPPC_PTvsPS[[#This Row],[Post-Soviet/GDP per capita]]-_7D_GDPPC_PTvsPS[[#This Row],[Focus/GDP per capita]]</f>
        <v>-2096.0556666666998</v>
      </c>
      <c r="E25" t="str">
        <f>IF(_7D_GDPPC_PTvsPS[[#This Row],[Year]]=1990,"first",IF(_7D_GDPPC_PTvsPS[[#This Row],[Difference]]&lt;D24,"yes","no"))</f>
        <v>no</v>
      </c>
    </row>
    <row r="26" spans="1:5" x14ac:dyDescent="0.35">
      <c r="A26">
        <v>2014</v>
      </c>
      <c r="B26" s="1">
        <v>24442.386999999999</v>
      </c>
      <c r="C26" s="1">
        <v>22808.178333333301</v>
      </c>
      <c r="D26" s="1">
        <f>_7D_GDPPC_PTvsPS[[#This Row],[Post-Soviet/GDP per capita]]-_7D_GDPPC_PTvsPS[[#This Row],[Focus/GDP per capita]]</f>
        <v>-1634.2086666666983</v>
      </c>
      <c r="E26" t="str">
        <f>IF(_7D_GDPPC_PTvsPS[[#This Row],[Year]]=1990,"first",IF(_7D_GDPPC_PTvsPS[[#This Row],[Difference]]&lt;D25,"yes","no"))</f>
        <v>no</v>
      </c>
    </row>
    <row r="27" spans="1:5" x14ac:dyDescent="0.35">
      <c r="A27">
        <v>2015</v>
      </c>
      <c r="B27" s="1">
        <v>24983.701000000001</v>
      </c>
      <c r="C27" s="1">
        <v>23540.642666666699</v>
      </c>
      <c r="D27" s="1">
        <f>_7D_GDPPC_PTvsPS[[#This Row],[Post-Soviet/GDP per capita]]-_7D_GDPPC_PTvsPS[[#This Row],[Focus/GDP per capita]]</f>
        <v>-1443.0583333333016</v>
      </c>
      <c r="E27" t="str">
        <f>IF(_7D_GDPPC_PTvsPS[[#This Row],[Year]]=1990,"first",IF(_7D_GDPPC_PTvsPS[[#This Row],[Difference]]&lt;D26,"yes","no"))</f>
        <v>no</v>
      </c>
    </row>
    <row r="28" spans="1:5" x14ac:dyDescent="0.35">
      <c r="A28">
        <v>2016</v>
      </c>
      <c r="B28" s="1">
        <v>25568.695</v>
      </c>
      <c r="C28" s="1">
        <v>24332.005666666701</v>
      </c>
      <c r="D28" s="1">
        <f>_7D_GDPPC_PTvsPS[[#This Row],[Post-Soviet/GDP per capita]]-_7D_GDPPC_PTvsPS[[#This Row],[Focus/GDP per capita]]</f>
        <v>-1236.6893333332991</v>
      </c>
      <c r="E28" t="str">
        <f>IF(_7D_GDPPC_PTvsPS[[#This Row],[Year]]=1990,"first",IF(_7D_GDPPC_PTvsPS[[#This Row],[Difference]]&lt;D27,"yes","no"))</f>
        <v>no</v>
      </c>
    </row>
    <row r="29" spans="1:5" x14ac:dyDescent="0.35">
      <c r="A29">
        <v>2017</v>
      </c>
      <c r="B29" s="1">
        <v>26529.986000000001</v>
      </c>
      <c r="C29" s="1">
        <v>25624.493999999999</v>
      </c>
      <c r="D29" s="1">
        <f>_7D_GDPPC_PTvsPS[[#This Row],[Post-Soviet/GDP per capita]]-_7D_GDPPC_PTvsPS[[#This Row],[Focus/GDP per capita]]</f>
        <v>-905.49200000000201</v>
      </c>
      <c r="E29" t="str">
        <f>IF(_7D_GDPPC_PTvsPS[[#This Row],[Year]]=1990,"first",IF(_7D_GDPPC_PTvsPS[[#This Row],[Difference]]&lt;D28,"yes","no"))</f>
        <v>no</v>
      </c>
    </row>
    <row r="30" spans="1:5" x14ac:dyDescent="0.35">
      <c r="A30">
        <v>2018</v>
      </c>
      <c r="B30" s="1">
        <v>27329.69</v>
      </c>
      <c r="C30" s="1">
        <v>26755.9116666667</v>
      </c>
      <c r="D30" s="1">
        <f>_7D_GDPPC_PTvsPS[[#This Row],[Post-Soviet/GDP per capita]]-_7D_GDPPC_PTvsPS[[#This Row],[Focus/GDP per capita]]</f>
        <v>-573.77833333329909</v>
      </c>
      <c r="E30" t="str">
        <f>IF(_7D_GDPPC_PTvsPS[[#This Row],[Year]]=1990,"first",IF(_7D_GDPPC_PTvsPS[[#This Row],[Difference]]&lt;D29,"yes","no"))</f>
        <v>no</v>
      </c>
    </row>
    <row r="31" spans="1:5" x14ac:dyDescent="0.35">
      <c r="A31">
        <v>2019</v>
      </c>
      <c r="B31" s="1">
        <v>28056.057000000001</v>
      </c>
      <c r="C31" s="1">
        <v>27783.419666666701</v>
      </c>
      <c r="D31" s="1">
        <f>_7D_GDPPC_PTvsPS[[#This Row],[Post-Soviet/GDP per capita]]-_7D_GDPPC_PTvsPS[[#This Row],[Focus/GDP per capita]]</f>
        <v>-272.63733333329947</v>
      </c>
      <c r="E31" t="str">
        <f>IF(_7D_GDPPC_PTvsPS[[#This Row],[Year]]=1990,"first",IF(_7D_GDPPC_PTvsPS[[#This Row],[Difference]]&lt;D30,"yes","no"))</f>
        <v>no</v>
      </c>
    </row>
    <row r="32" spans="1:5" x14ac:dyDescent="0.35">
      <c r="A32">
        <v>2020</v>
      </c>
      <c r="B32" s="1">
        <v>25700.282999999999</v>
      </c>
      <c r="C32" s="1">
        <v>27562.163333333301</v>
      </c>
      <c r="D32" s="1">
        <f>_7D_GDPPC_PTvsPS[[#This Row],[Post-Soviet/GDP per capita]]-_7D_GDPPC_PTvsPS[[#This Row],[Focus/GDP per capita]]</f>
        <v>1861.8803333333017</v>
      </c>
      <c r="E32" t="str">
        <f>IF(_7D_GDPPC_PTvsPS[[#This Row],[Year]]=1990,"first",IF(_7D_GDPPC_PTvsPS[[#This Row],[Difference]]&lt;D31,"yes","no"))</f>
        <v>no</v>
      </c>
    </row>
    <row r="33" spans="1:5" x14ac:dyDescent="0.35">
      <c r="A33">
        <v>2021</v>
      </c>
      <c r="B33" s="1">
        <v>27138.478999999999</v>
      </c>
      <c r="C33" s="1">
        <v>29264.9336666667</v>
      </c>
      <c r="D33" s="1">
        <f>_7D_GDPPC_PTvsPS[[#This Row],[Post-Soviet/GDP per capita]]-_7D_GDPPC_PTvsPS[[#This Row],[Focus/GDP per capita]]</f>
        <v>2126.4546666667011</v>
      </c>
      <c r="E33" t="str">
        <f>IF(_7D_GDPPC_PTvsPS[[#This Row],[Year]]=1990,"first",IF(_7D_GDPPC_PTvsPS[[#This Row],[Difference]]&lt;D32,"yes","no"))</f>
        <v>no</v>
      </c>
    </row>
    <row r="34" spans="1:5" x14ac:dyDescent="0.35">
      <c r="A34">
        <v>2022</v>
      </c>
      <c r="B34" s="1">
        <v>28992.059000000001</v>
      </c>
      <c r="C34" s="1">
        <v>29383.672666666698</v>
      </c>
      <c r="D34" s="1">
        <f>_7D_GDPPC_PTvsPS[[#This Row],[Post-Soviet/GDP per capita]]-_7D_GDPPC_PTvsPS[[#This Row],[Focus/GDP per capita]]</f>
        <v>391.6136666666971</v>
      </c>
      <c r="E34" t="str">
        <f>IF(_7D_GDPPC_PTvsPS[[#This Row],[Year]]=1990,"first",IF(_7D_GDPPC_PTvsPS[[#This Row],[Difference]]&lt;D33,"yes","no"))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2259-CB28-4E12-80FE-CA240E279ADA}">
  <dimension ref="A1:I34"/>
  <sheetViews>
    <sheetView workbookViewId="0">
      <selection activeCell="C15" sqref="C15"/>
    </sheetView>
  </sheetViews>
  <sheetFormatPr defaultRowHeight="14.5" x14ac:dyDescent="0.35"/>
  <cols>
    <col min="1" max="1" width="6.81640625" bestFit="1" customWidth="1"/>
    <col min="2" max="2" width="23.36328125" bestFit="1" customWidth="1"/>
    <col min="3" max="3" width="23.08984375" bestFit="1" customWidth="1"/>
    <col min="4" max="4" width="23.36328125" bestFit="1" customWidth="1"/>
    <col min="5" max="5" width="22.1796875" bestFit="1" customWidth="1"/>
    <col min="6" max="6" width="23.90625" bestFit="1" customWidth="1"/>
    <col min="7" max="7" width="22.54296875" bestFit="1" customWidth="1"/>
    <col min="8" max="8" width="21.36328125" bestFit="1" customWidth="1"/>
    <col min="9" max="9" width="2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1990</v>
      </c>
      <c r="B2" s="1">
        <v>17256</v>
      </c>
      <c r="C2" s="1">
        <v>14178</v>
      </c>
      <c r="D2" s="1">
        <v>10296</v>
      </c>
      <c r="E2" s="1">
        <v>8150</v>
      </c>
      <c r="F2" s="1">
        <v>5596</v>
      </c>
      <c r="G2" s="1">
        <v>17247</v>
      </c>
      <c r="H2" s="1">
        <v>15806</v>
      </c>
      <c r="I2" s="1">
        <v>13809</v>
      </c>
    </row>
    <row r="3" spans="1:9" x14ac:dyDescent="0.35">
      <c r="A3">
        <v>1991</v>
      </c>
      <c r="B3" s="1">
        <v>17949.809000000001</v>
      </c>
      <c r="C3" s="1">
        <v>12724.540999999999</v>
      </c>
      <c r="D3" s="1">
        <v>9255.9089999999997</v>
      </c>
      <c r="E3" s="1">
        <v>7625.8429999999998</v>
      </c>
      <c r="F3" s="1">
        <v>5033.1409999999996</v>
      </c>
      <c r="G3" s="1">
        <v>15350.635</v>
      </c>
      <c r="H3" s="1">
        <v>13774.933999999999</v>
      </c>
      <c r="I3" s="1">
        <v>12999.308999999999</v>
      </c>
    </row>
    <row r="4" spans="1:9" x14ac:dyDescent="0.35">
      <c r="A4">
        <v>1992</v>
      </c>
      <c r="B4" s="1">
        <v>18598.526999999998</v>
      </c>
      <c r="C4" s="1">
        <v>12810.432000000001</v>
      </c>
      <c r="D4" s="1">
        <v>9153.9210000000003</v>
      </c>
      <c r="E4" s="1">
        <v>7873.9250000000002</v>
      </c>
      <c r="F4" s="1">
        <v>4818.3040000000001</v>
      </c>
      <c r="G4" s="1">
        <v>13214.388000000001</v>
      </c>
      <c r="H4" s="1">
        <v>9411.1949999999997</v>
      </c>
      <c r="I4" s="1">
        <v>10240.939</v>
      </c>
    </row>
    <row r="5" spans="1:9" x14ac:dyDescent="0.35">
      <c r="A5">
        <v>1993</v>
      </c>
      <c r="B5" s="1">
        <v>18519.934000000001</v>
      </c>
      <c r="C5" s="1">
        <v>12974.197</v>
      </c>
      <c r="D5" s="1">
        <v>9294.4639999999999</v>
      </c>
      <c r="E5" s="1">
        <v>8229.5290000000005</v>
      </c>
      <c r="F5" s="1">
        <v>5055.9170000000004</v>
      </c>
      <c r="G5" s="1">
        <v>12207.184999999999</v>
      </c>
      <c r="H5" s="1">
        <v>8439.33</v>
      </c>
      <c r="I5" s="1">
        <v>8621.0969999999998</v>
      </c>
    </row>
    <row r="6" spans="1:9" x14ac:dyDescent="0.35">
      <c r="A6">
        <v>1994</v>
      </c>
      <c r="B6" s="1">
        <v>18819.026999999998</v>
      </c>
      <c r="C6" s="1">
        <v>13517.582</v>
      </c>
      <c r="D6" s="1">
        <v>9772.2240000000002</v>
      </c>
      <c r="E6" s="1">
        <v>8721.8269999999993</v>
      </c>
      <c r="F6" s="1">
        <v>5427.0709999999999</v>
      </c>
      <c r="G6" s="1">
        <v>12070.061</v>
      </c>
      <c r="H6" s="1">
        <v>8704.2669999999998</v>
      </c>
      <c r="I6" s="1">
        <v>7830.0054</v>
      </c>
    </row>
    <row r="7" spans="1:9" x14ac:dyDescent="0.35">
      <c r="A7">
        <v>1995</v>
      </c>
      <c r="B7" s="1">
        <v>19262.030999999999</v>
      </c>
      <c r="C7" s="1">
        <v>14550.104499999999</v>
      </c>
      <c r="D7" s="1">
        <v>10134.834000000001</v>
      </c>
      <c r="E7" s="1">
        <v>9408.2739999999994</v>
      </c>
      <c r="F7" s="1">
        <v>6014.69</v>
      </c>
      <c r="G7" s="1">
        <v>12881.278</v>
      </c>
      <c r="H7" s="1">
        <v>8709.07</v>
      </c>
      <c r="I7" s="1">
        <v>8299.4699999999993</v>
      </c>
    </row>
    <row r="8" spans="1:9" x14ac:dyDescent="0.35">
      <c r="A8">
        <v>1996</v>
      </c>
      <c r="B8" s="1">
        <v>19939.310000000001</v>
      </c>
      <c r="C8" s="1">
        <v>15386.32</v>
      </c>
      <c r="D8" s="1">
        <v>10359.182000000001</v>
      </c>
      <c r="E8" s="1">
        <v>10066.171</v>
      </c>
      <c r="F8" s="1">
        <v>6476.4745999999996</v>
      </c>
      <c r="G8" s="1">
        <v>13547.661</v>
      </c>
      <c r="H8" s="1">
        <v>8947.2690000000002</v>
      </c>
      <c r="I8" s="1">
        <v>8793.7009999999991</v>
      </c>
    </row>
    <row r="9" spans="1:9" x14ac:dyDescent="0.35">
      <c r="A9">
        <v>1997</v>
      </c>
      <c r="B9" s="1">
        <v>20810.178</v>
      </c>
      <c r="C9" s="1">
        <v>15494.316999999999</v>
      </c>
      <c r="D9" s="1">
        <v>10942.325999999999</v>
      </c>
      <c r="E9" s="1">
        <v>10811.273999999999</v>
      </c>
      <c r="F9" s="1">
        <v>6446.4179999999997</v>
      </c>
      <c r="G9" s="1">
        <v>15074.775</v>
      </c>
      <c r="H9" s="1">
        <v>9773.4989999999998</v>
      </c>
      <c r="I9" s="1">
        <v>9592.64</v>
      </c>
    </row>
    <row r="10" spans="1:9" x14ac:dyDescent="0.35">
      <c r="A10">
        <v>1998</v>
      </c>
      <c r="B10" s="1">
        <v>21782.12</v>
      </c>
      <c r="C10" s="1">
        <v>15657.425999999999</v>
      </c>
      <c r="D10" s="1">
        <v>11663.028</v>
      </c>
      <c r="E10" s="1">
        <v>11413.255999999999</v>
      </c>
      <c r="F10" s="1">
        <v>6407.4669999999996</v>
      </c>
      <c r="G10" s="1">
        <v>15593.004999999999</v>
      </c>
      <c r="H10" s="1">
        <v>10429.767</v>
      </c>
      <c r="I10" s="1">
        <v>10382.117</v>
      </c>
    </row>
    <row r="11" spans="1:9" x14ac:dyDescent="0.35">
      <c r="A11">
        <v>1999</v>
      </c>
      <c r="B11" s="1">
        <v>22589.921999999999</v>
      </c>
      <c r="C11" s="1">
        <v>16102.508</v>
      </c>
      <c r="D11" s="1">
        <v>12316.724</v>
      </c>
      <c r="E11" s="1">
        <v>12058.42</v>
      </c>
      <c r="F11" s="1">
        <v>6613.933</v>
      </c>
      <c r="G11" s="1">
        <v>15335.106</v>
      </c>
      <c r="H11" s="1">
        <v>10707.706</v>
      </c>
      <c r="I11" s="1">
        <v>10336.395500000001</v>
      </c>
    </row>
    <row r="12" spans="1:9" x14ac:dyDescent="0.35">
      <c r="A12">
        <v>2000</v>
      </c>
      <c r="B12" s="1">
        <v>23372.041000000001</v>
      </c>
      <c r="C12" s="1">
        <v>17056.16</v>
      </c>
      <c r="D12" s="1">
        <v>13129.272999999999</v>
      </c>
      <c r="E12" s="1">
        <v>12732.166999999999</v>
      </c>
      <c r="F12" s="1">
        <v>7089.9462999999996</v>
      </c>
      <c r="G12" s="1">
        <v>16806.974999999999</v>
      </c>
      <c r="H12" s="1">
        <v>11309.74</v>
      </c>
      <c r="I12" s="1">
        <v>10806.874</v>
      </c>
    </row>
    <row r="13" spans="1:9" x14ac:dyDescent="0.35">
      <c r="A13">
        <v>2001</v>
      </c>
      <c r="B13" s="1">
        <v>23751.370999999999</v>
      </c>
      <c r="C13" s="1">
        <v>17868.567999999999</v>
      </c>
      <c r="D13" s="1">
        <v>13933.562</v>
      </c>
      <c r="E13" s="1">
        <v>13017.584000000001</v>
      </c>
      <c r="F13" s="1">
        <v>7860.4434000000001</v>
      </c>
      <c r="G13" s="1">
        <v>17696.61</v>
      </c>
      <c r="H13" s="1">
        <v>12103.828</v>
      </c>
      <c r="I13" s="1">
        <v>11606.728999999999</v>
      </c>
    </row>
    <row r="14" spans="1:9" x14ac:dyDescent="0.35">
      <c r="A14">
        <v>2002</v>
      </c>
      <c r="B14" s="1">
        <v>23896.458999999999</v>
      </c>
      <c r="C14" s="1">
        <v>18431.026999999998</v>
      </c>
      <c r="D14" s="1">
        <v>14899.307000000001</v>
      </c>
      <c r="E14" s="1">
        <v>13415.571</v>
      </c>
      <c r="F14" s="1">
        <v>8673.6190000000006</v>
      </c>
      <c r="G14" s="1">
        <v>18589.150000000001</v>
      </c>
      <c r="H14" s="1">
        <v>13015.475</v>
      </c>
      <c r="I14" s="1">
        <v>12490.620999999999</v>
      </c>
    </row>
    <row r="15" spans="1:9" x14ac:dyDescent="0.35">
      <c r="A15">
        <v>2003</v>
      </c>
      <c r="B15" s="1">
        <v>23677.52</v>
      </c>
      <c r="C15" s="1">
        <v>19344.09</v>
      </c>
      <c r="D15" s="1">
        <v>15829.9</v>
      </c>
      <c r="E15" s="1">
        <v>14035.637000000001</v>
      </c>
      <c r="F15" s="1">
        <v>9369.2330000000002</v>
      </c>
      <c r="G15" s="1">
        <v>19771.741999999998</v>
      </c>
      <c r="H15" s="1">
        <v>14142.125</v>
      </c>
      <c r="I15" s="1">
        <v>13917.508</v>
      </c>
    </row>
    <row r="16" spans="1:9" x14ac:dyDescent="0.35">
      <c r="A16">
        <v>2004</v>
      </c>
      <c r="B16" s="1">
        <v>24142.766</v>
      </c>
      <c r="C16" s="1">
        <v>20555.035</v>
      </c>
      <c r="D16" s="1">
        <v>16999.006000000001</v>
      </c>
      <c r="E16" s="1">
        <v>14906.093999999999</v>
      </c>
      <c r="F16" s="1">
        <v>10531.172</v>
      </c>
      <c r="G16" s="1">
        <v>20803.758000000002</v>
      </c>
      <c r="H16" s="1">
        <v>15371.182000000001</v>
      </c>
      <c r="I16" s="1">
        <v>14995.767</v>
      </c>
    </row>
    <row r="17" spans="1:9" x14ac:dyDescent="0.35">
      <c r="A17">
        <v>2005</v>
      </c>
      <c r="B17" s="1">
        <v>24377.95</v>
      </c>
      <c r="C17" s="1">
        <v>22128.58</v>
      </c>
      <c r="D17" s="1">
        <v>18140.616999999998</v>
      </c>
      <c r="E17" s="1">
        <v>15580.937</v>
      </c>
      <c r="F17" s="1">
        <v>11313.822</v>
      </c>
      <c r="G17" s="1">
        <v>22518.541000000001</v>
      </c>
      <c r="H17" s="1">
        <v>17069.655999999999</v>
      </c>
      <c r="I17" s="1">
        <v>16417.95</v>
      </c>
    </row>
    <row r="18" spans="1:9" x14ac:dyDescent="0.35">
      <c r="A18">
        <v>2006</v>
      </c>
      <c r="B18" s="1">
        <v>24809.040000000001</v>
      </c>
      <c r="C18" s="1">
        <v>23888.164000000001</v>
      </c>
      <c r="D18" s="1">
        <v>19253.062000000002</v>
      </c>
      <c r="E18" s="1">
        <v>16711.447</v>
      </c>
      <c r="F18" s="1">
        <v>12823.231</v>
      </c>
      <c r="G18" s="1">
        <v>24578.815999999999</v>
      </c>
      <c r="H18" s="1">
        <v>19128.689999999999</v>
      </c>
      <c r="I18" s="1">
        <v>17916.059000000001</v>
      </c>
    </row>
    <row r="19" spans="1:9" x14ac:dyDescent="0.35">
      <c r="A19">
        <v>2007</v>
      </c>
      <c r="B19" s="1">
        <v>25477.205000000002</v>
      </c>
      <c r="C19" s="1">
        <v>25382.807000000001</v>
      </c>
      <c r="D19" s="1">
        <v>19763.791000000001</v>
      </c>
      <c r="E19" s="1">
        <v>18067.428</v>
      </c>
      <c r="F19" s="1">
        <v>14418.83</v>
      </c>
      <c r="G19" s="1">
        <v>26177.870999999999</v>
      </c>
      <c r="H19" s="1">
        <v>21042.366999999998</v>
      </c>
      <c r="I19" s="1">
        <v>20138.473000000002</v>
      </c>
    </row>
    <row r="20" spans="1:9" x14ac:dyDescent="0.35">
      <c r="A20">
        <v>2008</v>
      </c>
      <c r="B20" s="1">
        <v>25590.880000000001</v>
      </c>
      <c r="C20" s="1">
        <v>26186.044999999998</v>
      </c>
      <c r="D20" s="1">
        <v>20380.63</v>
      </c>
      <c r="E20" s="1">
        <v>19011.546999999999</v>
      </c>
      <c r="F20" s="1">
        <v>16347.343999999999</v>
      </c>
      <c r="G20" s="1">
        <v>24429.021000000001</v>
      </c>
      <c r="H20" s="1">
        <v>20342.2</v>
      </c>
      <c r="I20" s="1">
        <v>20879.803</v>
      </c>
    </row>
    <row r="21" spans="1:9" x14ac:dyDescent="0.35">
      <c r="A21">
        <v>2009</v>
      </c>
      <c r="B21" s="1">
        <v>24902.456999999999</v>
      </c>
      <c r="C21" s="1">
        <v>25093.863000000001</v>
      </c>
      <c r="D21" s="1">
        <v>19461.07</v>
      </c>
      <c r="E21" s="1">
        <v>19718.465</v>
      </c>
      <c r="F21" s="1">
        <v>15866.127</v>
      </c>
      <c r="G21" s="1">
        <v>20538.048999999999</v>
      </c>
      <c r="H21" s="1">
        <v>17582.111000000001</v>
      </c>
      <c r="I21" s="1">
        <v>17983.349999999999</v>
      </c>
    </row>
    <row r="22" spans="1:9" x14ac:dyDescent="0.35">
      <c r="A22">
        <v>2010</v>
      </c>
      <c r="B22" s="1">
        <v>25463.164000000001</v>
      </c>
      <c r="C22" s="1">
        <v>25922.395</v>
      </c>
      <c r="D22" s="1">
        <v>20036.333999999999</v>
      </c>
      <c r="E22" s="1">
        <v>20608.692999999999</v>
      </c>
      <c r="F22" s="1">
        <v>16377.328</v>
      </c>
      <c r="G22" s="1">
        <v>20713.425999999999</v>
      </c>
      <c r="H22" s="1">
        <v>17140.226999999999</v>
      </c>
      <c r="I22" s="1">
        <v>18663.761999999999</v>
      </c>
    </row>
    <row r="23" spans="1:9" x14ac:dyDescent="0.35">
      <c r="A23">
        <v>2011</v>
      </c>
      <c r="B23" s="1">
        <v>25133</v>
      </c>
      <c r="C23" s="1">
        <v>26725</v>
      </c>
      <c r="D23" s="1">
        <v>20886</v>
      </c>
      <c r="E23" s="1">
        <v>21837</v>
      </c>
      <c r="F23" s="1">
        <v>17174</v>
      </c>
      <c r="G23" s="1">
        <v>21997</v>
      </c>
      <c r="H23" s="1">
        <v>18428</v>
      </c>
      <c r="I23" s="1">
        <v>20243</v>
      </c>
    </row>
    <row r="24" spans="1:9" x14ac:dyDescent="0.35">
      <c r="A24">
        <v>2012</v>
      </c>
      <c r="B24" s="1">
        <v>24211.437999999998</v>
      </c>
      <c r="C24" s="1">
        <v>26483.38</v>
      </c>
      <c r="D24" s="1">
        <v>20731.669999999998</v>
      </c>
      <c r="E24" s="1">
        <v>22169.826000000001</v>
      </c>
      <c r="F24" s="1">
        <v>17580.932000000001</v>
      </c>
      <c r="G24" s="1">
        <v>22784.3</v>
      </c>
      <c r="H24" s="1">
        <v>19970.030999999999</v>
      </c>
      <c r="I24" s="1">
        <v>21305.004000000001</v>
      </c>
    </row>
    <row r="25" spans="1:9" x14ac:dyDescent="0.35">
      <c r="A25">
        <v>2013</v>
      </c>
      <c r="B25" s="1">
        <v>24119.96</v>
      </c>
      <c r="C25" s="1">
        <v>26467.629000000001</v>
      </c>
      <c r="D25" s="1">
        <v>21163.563999999998</v>
      </c>
      <c r="E25" s="1">
        <v>22378.305</v>
      </c>
      <c r="F25" s="1">
        <v>17691.442999999999</v>
      </c>
      <c r="G25" s="1">
        <v>23204.111000000001</v>
      </c>
      <c r="H25" s="1">
        <v>20581.918000000001</v>
      </c>
      <c r="I25" s="1">
        <v>22285.684000000001</v>
      </c>
    </row>
    <row r="26" spans="1:9" x14ac:dyDescent="0.35">
      <c r="A26">
        <v>2014</v>
      </c>
      <c r="B26" s="1">
        <v>24442.386999999999</v>
      </c>
      <c r="C26" s="1">
        <v>27030.19</v>
      </c>
      <c r="D26" s="1">
        <v>22118.75</v>
      </c>
      <c r="E26" s="1">
        <v>23247.817999999999</v>
      </c>
      <c r="F26" s="1">
        <v>18487.259999999998</v>
      </c>
      <c r="G26" s="1">
        <v>23982.828000000001</v>
      </c>
      <c r="H26" s="1">
        <v>21168.535</v>
      </c>
      <c r="I26" s="1">
        <v>23273.171999999999</v>
      </c>
    </row>
    <row r="27" spans="1:9" x14ac:dyDescent="0.35">
      <c r="A27">
        <v>2015</v>
      </c>
      <c r="B27" s="1">
        <v>24983.701000000001</v>
      </c>
      <c r="C27" s="1">
        <v>28437.603999999999</v>
      </c>
      <c r="D27" s="1">
        <v>22993.375</v>
      </c>
      <c r="E27" s="1">
        <v>24285.14</v>
      </c>
      <c r="F27" s="1">
        <v>19162.186000000002</v>
      </c>
      <c r="G27" s="1">
        <v>24473.66</v>
      </c>
      <c r="H27" s="1">
        <v>22179.42</v>
      </c>
      <c r="I27" s="1">
        <v>23968.848000000002</v>
      </c>
    </row>
    <row r="28" spans="1:9" x14ac:dyDescent="0.35">
      <c r="A28">
        <v>2016</v>
      </c>
      <c r="B28" s="1">
        <v>25568.695</v>
      </c>
      <c r="C28" s="1">
        <v>29097.504000000001</v>
      </c>
      <c r="D28" s="1">
        <v>23568.925999999999</v>
      </c>
      <c r="E28" s="1">
        <v>25020.620999999999</v>
      </c>
      <c r="F28" s="1">
        <v>19825.603999999999</v>
      </c>
      <c r="G28" s="1">
        <v>25196.153999999999</v>
      </c>
      <c r="H28" s="1">
        <v>22913.023000000001</v>
      </c>
      <c r="I28" s="1">
        <v>24886.84</v>
      </c>
    </row>
    <row r="29" spans="1:9" x14ac:dyDescent="0.35">
      <c r="A29">
        <v>2017</v>
      </c>
      <c r="B29" s="1">
        <v>26529.986000000001</v>
      </c>
      <c r="C29" s="1">
        <v>30531.383000000002</v>
      </c>
      <c r="D29" s="1">
        <v>24641.197</v>
      </c>
      <c r="E29" s="1">
        <v>26310.113000000001</v>
      </c>
      <c r="F29" s="1">
        <v>23003.695</v>
      </c>
      <c r="G29" s="1">
        <v>26661.627</v>
      </c>
      <c r="H29" s="1">
        <v>23893.831999999999</v>
      </c>
      <c r="I29" s="1">
        <v>26318.023000000001</v>
      </c>
    </row>
    <row r="30" spans="1:9" x14ac:dyDescent="0.35">
      <c r="A30">
        <v>2018</v>
      </c>
      <c r="B30" s="1">
        <v>27329.69</v>
      </c>
      <c r="C30" s="1">
        <v>31405.09</v>
      </c>
      <c r="D30" s="1">
        <v>25995.51</v>
      </c>
      <c r="E30" s="1">
        <v>27880.835999999999</v>
      </c>
      <c r="F30" s="1">
        <v>24000.455000000002</v>
      </c>
      <c r="G30" s="1">
        <v>27596.41</v>
      </c>
      <c r="H30" s="1">
        <v>25039.865000000002</v>
      </c>
      <c r="I30" s="1">
        <v>27631.46</v>
      </c>
    </row>
    <row r="31" spans="1:9" x14ac:dyDescent="0.35">
      <c r="A31">
        <v>2019</v>
      </c>
      <c r="B31" s="1">
        <v>28056.057000000001</v>
      </c>
      <c r="C31" s="1">
        <v>32226.553</v>
      </c>
      <c r="D31" s="1">
        <v>27272.312000000002</v>
      </c>
      <c r="E31" s="1">
        <v>29142.023000000001</v>
      </c>
      <c r="F31" s="1">
        <v>23267.516</v>
      </c>
      <c r="G31" s="1">
        <v>28505.603999999999</v>
      </c>
      <c r="H31" s="1">
        <v>25858.601999999999</v>
      </c>
      <c r="I31" s="1">
        <v>28986.053</v>
      </c>
    </row>
    <row r="32" spans="1:9" x14ac:dyDescent="0.35">
      <c r="A32">
        <v>2020</v>
      </c>
      <c r="B32" s="1">
        <v>25700.282999999999</v>
      </c>
      <c r="C32" s="1">
        <v>30365.37</v>
      </c>
      <c r="D32" s="1">
        <v>26091.4</v>
      </c>
      <c r="E32" s="1">
        <v>28577.14</v>
      </c>
      <c r="F32" s="1">
        <v>24799.71</v>
      </c>
      <c r="G32" s="1">
        <v>28261.581999999999</v>
      </c>
      <c r="H32" s="1">
        <v>25453.063999999998</v>
      </c>
      <c r="I32" s="1">
        <v>28971.844000000001</v>
      </c>
    </row>
    <row r="33" spans="1:9" x14ac:dyDescent="0.35">
      <c r="A33">
        <v>2021</v>
      </c>
      <c r="B33" s="1">
        <v>27138.478999999999</v>
      </c>
      <c r="C33" s="1">
        <v>31452.557000000001</v>
      </c>
      <c r="D33" s="1">
        <v>28085.963</v>
      </c>
      <c r="E33" s="1">
        <v>30687.662</v>
      </c>
      <c r="F33" s="1">
        <v>26102.588</v>
      </c>
      <c r="G33" s="1">
        <v>30499.155999999999</v>
      </c>
      <c r="H33" s="1">
        <v>26738.615000000002</v>
      </c>
      <c r="I33" s="1">
        <v>30557.03</v>
      </c>
    </row>
    <row r="34" spans="1:9" x14ac:dyDescent="0.35">
      <c r="A34">
        <v>2022</v>
      </c>
      <c r="B34" s="1">
        <v>28992.059000000001</v>
      </c>
      <c r="C34" s="1">
        <v>32247.395</v>
      </c>
      <c r="D34" s="1">
        <v>29451.855</v>
      </c>
      <c r="E34" s="1">
        <v>32468.401999999998</v>
      </c>
      <c r="F34" s="1">
        <v>26197.903999999999</v>
      </c>
      <c r="G34" s="1">
        <v>30067.395</v>
      </c>
      <c r="H34" s="1">
        <v>27220.303</v>
      </c>
      <c r="I34" s="1">
        <v>30863.32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DE8E-3E46-41D4-9FF8-A5B346D9AE41}">
  <dimension ref="A1:I34"/>
  <sheetViews>
    <sheetView topLeftCell="A19" workbookViewId="0">
      <selection activeCell="C2" sqref="C2"/>
    </sheetView>
  </sheetViews>
  <sheetFormatPr defaultRowHeight="14.5" x14ac:dyDescent="0.35"/>
  <cols>
    <col min="2" max="2" width="23.36328125" bestFit="1" customWidth="1"/>
    <col min="3" max="9" width="12.6328125" customWidth="1"/>
  </cols>
  <sheetData>
    <row r="1" spans="1:9" x14ac:dyDescent="0.35">
      <c r="A1" t="s">
        <v>0</v>
      </c>
      <c r="B1" t="s">
        <v>1</v>
      </c>
      <c r="C1" t="s">
        <v>15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>
        <v>1990</v>
      </c>
      <c r="B2" s="1">
        <v>17256</v>
      </c>
      <c r="C2" s="1">
        <f>_7D_GDPPC_PTvsPSall3[[#This Row],[Portugal/GDP per capita]]-_xlfn.XLOOKUP(_7D_GDPPC_PTvsPSall3[[#This Row],[Year]],_7D_GDPPC_PTvsPSall[Year],_7D_GDPPC_PTvsPSall[Czechia/GDP per capita],"",0)</f>
        <v>3078</v>
      </c>
      <c r="D2" s="1">
        <f>_7D_GDPPC_PTvsPSall3[[#This Row],[Portugal/GDP per capita]]-_xlfn.XLOOKUP(_7D_GDPPC_PTvsPSall3[[#This Row],[Year]],_7D_GDPPC_PTvsPSall[Year],_7D_GDPPC_PTvsPSall[Hungary/GDP per capita],"",0)</f>
        <v>6960</v>
      </c>
      <c r="E2" s="1">
        <f>_7D_GDPPC_PTvsPSall3[[#This Row],[Portugal/GDP per capita]]-_xlfn.XLOOKUP(_7D_GDPPC_PTvsPSall3[[#This Row],[Year]],_7D_GDPPC_PTvsPSall[Year],_7D_GDPPC_PTvsPSall[Poland/GDP per capita],"",0)</f>
        <v>9106</v>
      </c>
      <c r="F2" s="1">
        <f>_7D_GDPPC_PTvsPSall3[[#This Row],[Portugal/GDP per capita]]-_xlfn.XLOOKUP(_7D_GDPPC_PTvsPSall3[[#This Row],[Year]],_7D_GDPPC_PTvsPSall[Year],_7D_GDPPC_PTvsPSall[Romania/GDP per capita],"",0)</f>
        <v>11660</v>
      </c>
      <c r="G2" s="1">
        <f>_7D_GDPPC_PTvsPSall3[[#This Row],[Portugal/GDP per capita]]-_xlfn.XLOOKUP(_7D_GDPPC_PTvsPSall3[[#This Row],[Year]],_7D_GDPPC_PTvsPSall[Year],_7D_GDPPC_PTvsPSall[Estonia/GDP per capita],"",0)</f>
        <v>9</v>
      </c>
      <c r="H2" s="1">
        <f>_7D_GDPPC_PTvsPSall3[[#This Row],[Portugal/GDP per capita]]-_xlfn.XLOOKUP(_7D_GDPPC_PTvsPSall3[[#This Row],[Year]],_7D_GDPPC_PTvsPSall[Year],_7D_GDPPC_PTvsPSall[Latvia/GDP per capita],"",0)</f>
        <v>1450</v>
      </c>
      <c r="I2" s="1">
        <f>_7D_GDPPC_PTvsPSall3[[#This Row],[Portugal/GDP per capita]]-_xlfn.XLOOKUP(_7D_GDPPC_PTvsPSall3[[#This Row],[Year]],_7D_GDPPC_PTvsPSall[Year],_7D_GDPPC_PTvsPSall[Lithuania/GDP per capita],"",0)</f>
        <v>3447</v>
      </c>
    </row>
    <row r="3" spans="1:9" x14ac:dyDescent="0.35">
      <c r="A3">
        <v>1991</v>
      </c>
      <c r="B3" s="1">
        <v>17949.809000000001</v>
      </c>
      <c r="C3" s="1">
        <f>_7D_GDPPC_PTvsPSall3[[#This Row],[Portugal/GDP per capita]]-_xlfn.XLOOKUP(_7D_GDPPC_PTvsPSall3[[#This Row],[Year]],_7D_GDPPC_PTvsPSall[Year],_7D_GDPPC_PTvsPSall[Czechia/GDP per capita],"",0)</f>
        <v>5225.2680000000018</v>
      </c>
      <c r="D3" s="1">
        <f>_7D_GDPPC_PTvsPSall3[[#This Row],[Portugal/GDP per capita]]-_xlfn.XLOOKUP(_7D_GDPPC_PTvsPSall3[[#This Row],[Year]],_7D_GDPPC_PTvsPSall[Year],_7D_GDPPC_PTvsPSall[Hungary/GDP per capita],"",0)</f>
        <v>8693.9000000000015</v>
      </c>
      <c r="E3" s="1">
        <f>_7D_GDPPC_PTvsPSall3[[#This Row],[Portugal/GDP per capita]]-_xlfn.XLOOKUP(_7D_GDPPC_PTvsPSall3[[#This Row],[Year]],_7D_GDPPC_PTvsPSall[Year],_7D_GDPPC_PTvsPSall[Poland/GDP per capita],"",0)</f>
        <v>10323.966</v>
      </c>
      <c r="F3" s="1">
        <f>_7D_GDPPC_PTvsPSall3[[#This Row],[Portugal/GDP per capita]]-_xlfn.XLOOKUP(_7D_GDPPC_PTvsPSall3[[#This Row],[Year]],_7D_GDPPC_PTvsPSall[Year],_7D_GDPPC_PTvsPSall[Romania/GDP per capita],"",0)</f>
        <v>12916.668000000001</v>
      </c>
      <c r="G3" s="1">
        <f>_7D_GDPPC_PTvsPSall3[[#This Row],[Portugal/GDP per capita]]-_xlfn.XLOOKUP(_7D_GDPPC_PTvsPSall3[[#This Row],[Year]],_7D_GDPPC_PTvsPSall[Year],_7D_GDPPC_PTvsPSall[Estonia/GDP per capita],"",0)</f>
        <v>2599.1740000000009</v>
      </c>
      <c r="H3" s="1">
        <f>_7D_GDPPC_PTvsPSall3[[#This Row],[Portugal/GDP per capita]]-_xlfn.XLOOKUP(_7D_GDPPC_PTvsPSall3[[#This Row],[Year]],_7D_GDPPC_PTvsPSall[Year],_7D_GDPPC_PTvsPSall[Latvia/GDP per capita],"",0)</f>
        <v>4174.8750000000018</v>
      </c>
      <c r="I3" s="1">
        <f>_7D_GDPPC_PTvsPSall3[[#This Row],[Portugal/GDP per capita]]-_xlfn.XLOOKUP(_7D_GDPPC_PTvsPSall3[[#This Row],[Year]],_7D_GDPPC_PTvsPSall[Year],_7D_GDPPC_PTvsPSall[Lithuania/GDP per capita],"",0)</f>
        <v>4950.5000000000018</v>
      </c>
    </row>
    <row r="4" spans="1:9" x14ac:dyDescent="0.35">
      <c r="A4">
        <v>1992</v>
      </c>
      <c r="B4" s="1">
        <v>18598.526999999998</v>
      </c>
      <c r="C4" s="1">
        <f>_7D_GDPPC_PTvsPSall3[[#This Row],[Portugal/GDP per capita]]-_xlfn.XLOOKUP(_7D_GDPPC_PTvsPSall3[[#This Row],[Year]],_7D_GDPPC_PTvsPSall[Year],_7D_GDPPC_PTvsPSall[Czechia/GDP per capita],"",0)</f>
        <v>5788.0949999999975</v>
      </c>
      <c r="D4" s="1">
        <f>_7D_GDPPC_PTvsPSall3[[#This Row],[Portugal/GDP per capita]]-_xlfn.XLOOKUP(_7D_GDPPC_PTvsPSall3[[#This Row],[Year]],_7D_GDPPC_PTvsPSall[Year],_7D_GDPPC_PTvsPSall[Hungary/GDP per capita],"",0)</f>
        <v>9444.6059999999979</v>
      </c>
      <c r="E4" s="1">
        <f>_7D_GDPPC_PTvsPSall3[[#This Row],[Portugal/GDP per capita]]-_xlfn.XLOOKUP(_7D_GDPPC_PTvsPSall3[[#This Row],[Year]],_7D_GDPPC_PTvsPSall[Year],_7D_GDPPC_PTvsPSall[Poland/GDP per capita],"",0)</f>
        <v>10724.601999999999</v>
      </c>
      <c r="F4" s="1">
        <f>_7D_GDPPC_PTvsPSall3[[#This Row],[Portugal/GDP per capita]]-_xlfn.XLOOKUP(_7D_GDPPC_PTvsPSall3[[#This Row],[Year]],_7D_GDPPC_PTvsPSall[Year],_7D_GDPPC_PTvsPSall[Romania/GDP per capita],"",0)</f>
        <v>13780.222999999998</v>
      </c>
      <c r="G4" s="1">
        <f>_7D_GDPPC_PTvsPSall3[[#This Row],[Portugal/GDP per capita]]-_xlfn.XLOOKUP(_7D_GDPPC_PTvsPSall3[[#This Row],[Year]],_7D_GDPPC_PTvsPSall[Year],_7D_GDPPC_PTvsPSall[Estonia/GDP per capita],"",0)</f>
        <v>5384.1389999999974</v>
      </c>
      <c r="H4" s="1">
        <f>_7D_GDPPC_PTvsPSall3[[#This Row],[Portugal/GDP per capita]]-_xlfn.XLOOKUP(_7D_GDPPC_PTvsPSall3[[#This Row],[Year]],_7D_GDPPC_PTvsPSall[Year],_7D_GDPPC_PTvsPSall[Latvia/GDP per capita],"",0)</f>
        <v>9187.3319999999985</v>
      </c>
      <c r="I4" s="1">
        <f>_7D_GDPPC_PTvsPSall3[[#This Row],[Portugal/GDP per capita]]-_xlfn.XLOOKUP(_7D_GDPPC_PTvsPSall3[[#This Row],[Year]],_7D_GDPPC_PTvsPSall[Year],_7D_GDPPC_PTvsPSall[Lithuania/GDP per capita],"",0)</f>
        <v>8357.5879999999979</v>
      </c>
    </row>
    <row r="5" spans="1:9" x14ac:dyDescent="0.35">
      <c r="A5">
        <v>1993</v>
      </c>
      <c r="B5" s="1">
        <v>18519.934000000001</v>
      </c>
      <c r="C5" s="1">
        <f>_7D_GDPPC_PTvsPSall3[[#This Row],[Portugal/GDP per capita]]-_xlfn.XLOOKUP(_7D_GDPPC_PTvsPSall3[[#This Row],[Year]],_7D_GDPPC_PTvsPSall[Year],_7D_GDPPC_PTvsPSall[Czechia/GDP per capita],"",0)</f>
        <v>5545.737000000001</v>
      </c>
      <c r="D5" s="1">
        <f>_7D_GDPPC_PTvsPSall3[[#This Row],[Portugal/GDP per capita]]-_xlfn.XLOOKUP(_7D_GDPPC_PTvsPSall3[[#This Row],[Year]],_7D_GDPPC_PTvsPSall[Year],_7D_GDPPC_PTvsPSall[Hungary/GDP per capita],"",0)</f>
        <v>9225.4700000000012</v>
      </c>
      <c r="E5" s="1">
        <f>_7D_GDPPC_PTvsPSall3[[#This Row],[Portugal/GDP per capita]]-_xlfn.XLOOKUP(_7D_GDPPC_PTvsPSall3[[#This Row],[Year]],_7D_GDPPC_PTvsPSall[Year],_7D_GDPPC_PTvsPSall[Poland/GDP per capita],"",0)</f>
        <v>10290.405000000001</v>
      </c>
      <c r="F5" s="1">
        <f>_7D_GDPPC_PTvsPSall3[[#This Row],[Portugal/GDP per capita]]-_xlfn.XLOOKUP(_7D_GDPPC_PTvsPSall3[[#This Row],[Year]],_7D_GDPPC_PTvsPSall[Year],_7D_GDPPC_PTvsPSall[Romania/GDP per capita],"",0)</f>
        <v>13464.017</v>
      </c>
      <c r="G5" s="1">
        <f>_7D_GDPPC_PTvsPSall3[[#This Row],[Portugal/GDP per capita]]-_xlfn.XLOOKUP(_7D_GDPPC_PTvsPSall3[[#This Row],[Year]],_7D_GDPPC_PTvsPSall[Year],_7D_GDPPC_PTvsPSall[Estonia/GDP per capita],"",0)</f>
        <v>6312.7490000000016</v>
      </c>
      <c r="H5" s="1">
        <f>_7D_GDPPC_PTvsPSall3[[#This Row],[Portugal/GDP per capita]]-_xlfn.XLOOKUP(_7D_GDPPC_PTvsPSall3[[#This Row],[Year]],_7D_GDPPC_PTvsPSall[Year],_7D_GDPPC_PTvsPSall[Latvia/GDP per capita],"",0)</f>
        <v>10080.604000000001</v>
      </c>
      <c r="I5" s="1">
        <f>_7D_GDPPC_PTvsPSall3[[#This Row],[Portugal/GDP per capita]]-_xlfn.XLOOKUP(_7D_GDPPC_PTvsPSall3[[#This Row],[Year]],_7D_GDPPC_PTvsPSall[Year],_7D_GDPPC_PTvsPSall[Lithuania/GDP per capita],"",0)</f>
        <v>9898.8370000000014</v>
      </c>
    </row>
    <row r="6" spans="1:9" x14ac:dyDescent="0.35">
      <c r="A6">
        <v>1994</v>
      </c>
      <c r="B6" s="1">
        <v>18819.026999999998</v>
      </c>
      <c r="C6" s="1">
        <f>_7D_GDPPC_PTvsPSall3[[#This Row],[Portugal/GDP per capita]]-_xlfn.XLOOKUP(_7D_GDPPC_PTvsPSall3[[#This Row],[Year]],_7D_GDPPC_PTvsPSall[Year],_7D_GDPPC_PTvsPSall[Czechia/GDP per capita],"",0)</f>
        <v>5301.4449999999979</v>
      </c>
      <c r="D6" s="1">
        <f>_7D_GDPPC_PTvsPSall3[[#This Row],[Portugal/GDP per capita]]-_xlfn.XLOOKUP(_7D_GDPPC_PTvsPSall3[[#This Row],[Year]],_7D_GDPPC_PTvsPSall[Year],_7D_GDPPC_PTvsPSall[Hungary/GDP per capita],"",0)</f>
        <v>9046.8029999999981</v>
      </c>
      <c r="E6" s="1">
        <f>_7D_GDPPC_PTvsPSall3[[#This Row],[Portugal/GDP per capita]]-_xlfn.XLOOKUP(_7D_GDPPC_PTvsPSall3[[#This Row],[Year]],_7D_GDPPC_PTvsPSall[Year],_7D_GDPPC_PTvsPSall[Poland/GDP per capita],"",0)</f>
        <v>10097.199999999999</v>
      </c>
      <c r="F6" s="1">
        <f>_7D_GDPPC_PTvsPSall3[[#This Row],[Portugal/GDP per capita]]-_xlfn.XLOOKUP(_7D_GDPPC_PTvsPSall3[[#This Row],[Year]],_7D_GDPPC_PTvsPSall[Year],_7D_GDPPC_PTvsPSall[Romania/GDP per capita],"",0)</f>
        <v>13391.955999999998</v>
      </c>
      <c r="G6" s="1">
        <f>_7D_GDPPC_PTvsPSall3[[#This Row],[Portugal/GDP per capita]]-_xlfn.XLOOKUP(_7D_GDPPC_PTvsPSall3[[#This Row],[Year]],_7D_GDPPC_PTvsPSall[Year],_7D_GDPPC_PTvsPSall[Estonia/GDP per capita],"",0)</f>
        <v>6748.9659999999985</v>
      </c>
      <c r="H6" s="1">
        <f>_7D_GDPPC_PTvsPSall3[[#This Row],[Portugal/GDP per capita]]-_xlfn.XLOOKUP(_7D_GDPPC_PTvsPSall3[[#This Row],[Year]],_7D_GDPPC_PTvsPSall[Year],_7D_GDPPC_PTvsPSall[Latvia/GDP per capita],"",0)</f>
        <v>10114.759999999998</v>
      </c>
      <c r="I6" s="1">
        <f>_7D_GDPPC_PTvsPSall3[[#This Row],[Portugal/GDP per capita]]-_xlfn.XLOOKUP(_7D_GDPPC_PTvsPSall3[[#This Row],[Year]],_7D_GDPPC_PTvsPSall[Year],_7D_GDPPC_PTvsPSall[Lithuania/GDP per capita],"",0)</f>
        <v>10989.021599999998</v>
      </c>
    </row>
    <row r="7" spans="1:9" x14ac:dyDescent="0.35">
      <c r="A7">
        <v>1995</v>
      </c>
      <c r="B7" s="1">
        <v>19262.030999999999</v>
      </c>
      <c r="C7" s="1">
        <f>_7D_GDPPC_PTvsPSall3[[#This Row],[Portugal/GDP per capita]]-_xlfn.XLOOKUP(_7D_GDPPC_PTvsPSall3[[#This Row],[Year]],_7D_GDPPC_PTvsPSall[Year],_7D_GDPPC_PTvsPSall[Czechia/GDP per capita],"",0)</f>
        <v>4711.9264999999996</v>
      </c>
      <c r="D7" s="1">
        <f>_7D_GDPPC_PTvsPSall3[[#This Row],[Portugal/GDP per capita]]-_xlfn.XLOOKUP(_7D_GDPPC_PTvsPSall3[[#This Row],[Year]],_7D_GDPPC_PTvsPSall[Year],_7D_GDPPC_PTvsPSall[Hungary/GDP per capita],"",0)</f>
        <v>9127.1969999999983</v>
      </c>
      <c r="E7" s="1">
        <f>_7D_GDPPC_PTvsPSall3[[#This Row],[Portugal/GDP per capita]]-_xlfn.XLOOKUP(_7D_GDPPC_PTvsPSall3[[#This Row],[Year]],_7D_GDPPC_PTvsPSall[Year],_7D_GDPPC_PTvsPSall[Poland/GDP per capita],"",0)</f>
        <v>9853.7569999999996</v>
      </c>
      <c r="F7" s="1">
        <f>_7D_GDPPC_PTvsPSall3[[#This Row],[Portugal/GDP per capita]]-_xlfn.XLOOKUP(_7D_GDPPC_PTvsPSall3[[#This Row],[Year]],_7D_GDPPC_PTvsPSall[Year],_7D_GDPPC_PTvsPSall[Romania/GDP per capita],"",0)</f>
        <v>13247.341</v>
      </c>
      <c r="G7" s="1">
        <f>_7D_GDPPC_PTvsPSall3[[#This Row],[Portugal/GDP per capita]]-_xlfn.XLOOKUP(_7D_GDPPC_PTvsPSall3[[#This Row],[Year]],_7D_GDPPC_PTvsPSall[Year],_7D_GDPPC_PTvsPSall[Estonia/GDP per capita],"",0)</f>
        <v>6380.7529999999988</v>
      </c>
      <c r="H7" s="1">
        <f>_7D_GDPPC_PTvsPSall3[[#This Row],[Portugal/GDP per capita]]-_xlfn.XLOOKUP(_7D_GDPPC_PTvsPSall3[[#This Row],[Year]],_7D_GDPPC_PTvsPSall[Year],_7D_GDPPC_PTvsPSall[Latvia/GDP per capita],"",0)</f>
        <v>10552.960999999999</v>
      </c>
      <c r="I7" s="1">
        <f>_7D_GDPPC_PTvsPSall3[[#This Row],[Portugal/GDP per capita]]-_xlfn.XLOOKUP(_7D_GDPPC_PTvsPSall3[[#This Row],[Year]],_7D_GDPPC_PTvsPSall[Year],_7D_GDPPC_PTvsPSall[Lithuania/GDP per capita],"",0)</f>
        <v>10962.561</v>
      </c>
    </row>
    <row r="8" spans="1:9" x14ac:dyDescent="0.35">
      <c r="A8">
        <v>1996</v>
      </c>
      <c r="B8" s="1">
        <v>19939.310000000001</v>
      </c>
      <c r="C8" s="1">
        <f>_7D_GDPPC_PTvsPSall3[[#This Row],[Portugal/GDP per capita]]-_xlfn.XLOOKUP(_7D_GDPPC_PTvsPSall3[[#This Row],[Year]],_7D_GDPPC_PTvsPSall[Year],_7D_GDPPC_PTvsPSall[Czechia/GDP per capita],"",0)</f>
        <v>4552.9900000000016</v>
      </c>
      <c r="D8" s="1">
        <f>_7D_GDPPC_PTvsPSall3[[#This Row],[Portugal/GDP per capita]]-_xlfn.XLOOKUP(_7D_GDPPC_PTvsPSall3[[#This Row],[Year]],_7D_GDPPC_PTvsPSall[Year],_7D_GDPPC_PTvsPSall[Hungary/GDP per capita],"",0)</f>
        <v>9580.1280000000006</v>
      </c>
      <c r="E8" s="1">
        <f>_7D_GDPPC_PTvsPSall3[[#This Row],[Portugal/GDP per capita]]-_xlfn.XLOOKUP(_7D_GDPPC_PTvsPSall3[[#This Row],[Year]],_7D_GDPPC_PTvsPSall[Year],_7D_GDPPC_PTvsPSall[Poland/GDP per capita],"",0)</f>
        <v>9873.139000000001</v>
      </c>
      <c r="F8" s="1">
        <f>_7D_GDPPC_PTvsPSall3[[#This Row],[Portugal/GDP per capita]]-_xlfn.XLOOKUP(_7D_GDPPC_PTvsPSall3[[#This Row],[Year]],_7D_GDPPC_PTvsPSall[Year],_7D_GDPPC_PTvsPSall[Romania/GDP per capita],"",0)</f>
        <v>13462.835400000002</v>
      </c>
      <c r="G8" s="1">
        <f>_7D_GDPPC_PTvsPSall3[[#This Row],[Portugal/GDP per capita]]-_xlfn.XLOOKUP(_7D_GDPPC_PTvsPSall3[[#This Row],[Year]],_7D_GDPPC_PTvsPSall[Year],_7D_GDPPC_PTvsPSall[Estonia/GDP per capita],"",0)</f>
        <v>6391.6490000000013</v>
      </c>
      <c r="H8" s="1">
        <f>_7D_GDPPC_PTvsPSall3[[#This Row],[Portugal/GDP per capita]]-_xlfn.XLOOKUP(_7D_GDPPC_PTvsPSall3[[#This Row],[Year]],_7D_GDPPC_PTvsPSall[Year],_7D_GDPPC_PTvsPSall[Latvia/GDP per capita],"",0)</f>
        <v>10992.041000000001</v>
      </c>
      <c r="I8" s="1">
        <f>_7D_GDPPC_PTvsPSall3[[#This Row],[Portugal/GDP per capita]]-_xlfn.XLOOKUP(_7D_GDPPC_PTvsPSall3[[#This Row],[Year]],_7D_GDPPC_PTvsPSall[Year],_7D_GDPPC_PTvsPSall[Lithuania/GDP per capita],"",0)</f>
        <v>11145.609000000002</v>
      </c>
    </row>
    <row r="9" spans="1:9" x14ac:dyDescent="0.35">
      <c r="A9">
        <v>1997</v>
      </c>
      <c r="B9" s="1">
        <v>20810.178</v>
      </c>
      <c r="C9" s="1">
        <f>_7D_GDPPC_PTvsPSall3[[#This Row],[Portugal/GDP per capita]]-_xlfn.XLOOKUP(_7D_GDPPC_PTvsPSall3[[#This Row],[Year]],_7D_GDPPC_PTvsPSall[Year],_7D_GDPPC_PTvsPSall[Czechia/GDP per capita],"",0)</f>
        <v>5315.8610000000008</v>
      </c>
      <c r="D9" s="1">
        <f>_7D_GDPPC_PTvsPSall3[[#This Row],[Portugal/GDP per capita]]-_xlfn.XLOOKUP(_7D_GDPPC_PTvsPSall3[[#This Row],[Year]],_7D_GDPPC_PTvsPSall[Year],_7D_GDPPC_PTvsPSall[Hungary/GDP per capita],"",0)</f>
        <v>9867.8520000000008</v>
      </c>
      <c r="E9" s="1">
        <f>_7D_GDPPC_PTvsPSall3[[#This Row],[Portugal/GDP per capita]]-_xlfn.XLOOKUP(_7D_GDPPC_PTvsPSall3[[#This Row],[Year]],_7D_GDPPC_PTvsPSall[Year],_7D_GDPPC_PTvsPSall[Poland/GDP per capita],"",0)</f>
        <v>9998.9040000000005</v>
      </c>
      <c r="F9" s="1">
        <f>_7D_GDPPC_PTvsPSall3[[#This Row],[Portugal/GDP per capita]]-_xlfn.XLOOKUP(_7D_GDPPC_PTvsPSall3[[#This Row],[Year]],_7D_GDPPC_PTvsPSall[Year],_7D_GDPPC_PTvsPSall[Romania/GDP per capita],"",0)</f>
        <v>14363.76</v>
      </c>
      <c r="G9" s="1">
        <f>_7D_GDPPC_PTvsPSall3[[#This Row],[Portugal/GDP per capita]]-_xlfn.XLOOKUP(_7D_GDPPC_PTvsPSall3[[#This Row],[Year]],_7D_GDPPC_PTvsPSall[Year],_7D_GDPPC_PTvsPSall[Estonia/GDP per capita],"",0)</f>
        <v>5735.4030000000002</v>
      </c>
      <c r="H9" s="1">
        <f>_7D_GDPPC_PTvsPSall3[[#This Row],[Portugal/GDP per capita]]-_xlfn.XLOOKUP(_7D_GDPPC_PTvsPSall3[[#This Row],[Year]],_7D_GDPPC_PTvsPSall[Year],_7D_GDPPC_PTvsPSall[Latvia/GDP per capita],"",0)</f>
        <v>11036.679</v>
      </c>
      <c r="I9" s="1">
        <f>_7D_GDPPC_PTvsPSall3[[#This Row],[Portugal/GDP per capita]]-_xlfn.XLOOKUP(_7D_GDPPC_PTvsPSall3[[#This Row],[Year]],_7D_GDPPC_PTvsPSall[Year],_7D_GDPPC_PTvsPSall[Lithuania/GDP per capita],"",0)</f>
        <v>11217.538</v>
      </c>
    </row>
    <row r="10" spans="1:9" x14ac:dyDescent="0.35">
      <c r="A10">
        <v>1998</v>
      </c>
      <c r="B10" s="1">
        <v>21782.12</v>
      </c>
      <c r="C10" s="1">
        <f>_7D_GDPPC_PTvsPSall3[[#This Row],[Portugal/GDP per capita]]-_xlfn.XLOOKUP(_7D_GDPPC_PTvsPSall3[[#This Row],[Year]],_7D_GDPPC_PTvsPSall[Year],_7D_GDPPC_PTvsPSall[Czechia/GDP per capita],"",0)</f>
        <v>6124.6939999999995</v>
      </c>
      <c r="D10" s="1">
        <f>_7D_GDPPC_PTvsPSall3[[#This Row],[Portugal/GDP per capita]]-_xlfn.XLOOKUP(_7D_GDPPC_PTvsPSall3[[#This Row],[Year]],_7D_GDPPC_PTvsPSall[Year],_7D_GDPPC_PTvsPSall[Hungary/GDP per capita],"",0)</f>
        <v>10119.091999999999</v>
      </c>
      <c r="E10" s="1">
        <f>_7D_GDPPC_PTvsPSall3[[#This Row],[Portugal/GDP per capita]]-_xlfn.XLOOKUP(_7D_GDPPC_PTvsPSall3[[#This Row],[Year]],_7D_GDPPC_PTvsPSall[Year],_7D_GDPPC_PTvsPSall[Poland/GDP per capita],"",0)</f>
        <v>10368.864</v>
      </c>
      <c r="F10" s="1">
        <f>_7D_GDPPC_PTvsPSall3[[#This Row],[Portugal/GDP per capita]]-_xlfn.XLOOKUP(_7D_GDPPC_PTvsPSall3[[#This Row],[Year]],_7D_GDPPC_PTvsPSall[Year],_7D_GDPPC_PTvsPSall[Romania/GDP per capita],"",0)</f>
        <v>15374.652999999998</v>
      </c>
      <c r="G10" s="1">
        <f>_7D_GDPPC_PTvsPSall3[[#This Row],[Portugal/GDP per capita]]-_xlfn.XLOOKUP(_7D_GDPPC_PTvsPSall3[[#This Row],[Year]],_7D_GDPPC_PTvsPSall[Year],_7D_GDPPC_PTvsPSall[Estonia/GDP per capita],"",0)</f>
        <v>6189.1149999999998</v>
      </c>
      <c r="H10" s="1">
        <f>_7D_GDPPC_PTvsPSall3[[#This Row],[Portugal/GDP per capita]]-_xlfn.XLOOKUP(_7D_GDPPC_PTvsPSall3[[#This Row],[Year]],_7D_GDPPC_PTvsPSall[Year],_7D_GDPPC_PTvsPSall[Latvia/GDP per capita],"",0)</f>
        <v>11352.352999999999</v>
      </c>
      <c r="I10" s="1">
        <f>_7D_GDPPC_PTvsPSall3[[#This Row],[Portugal/GDP per capita]]-_xlfn.XLOOKUP(_7D_GDPPC_PTvsPSall3[[#This Row],[Year]],_7D_GDPPC_PTvsPSall[Year],_7D_GDPPC_PTvsPSall[Lithuania/GDP per capita],"",0)</f>
        <v>11400.002999999999</v>
      </c>
    </row>
    <row r="11" spans="1:9" x14ac:dyDescent="0.35">
      <c r="A11">
        <v>1999</v>
      </c>
      <c r="B11" s="1">
        <v>22589.921999999999</v>
      </c>
      <c r="C11" s="1">
        <f>_7D_GDPPC_PTvsPSall3[[#This Row],[Portugal/GDP per capita]]-_xlfn.XLOOKUP(_7D_GDPPC_PTvsPSall3[[#This Row],[Year]],_7D_GDPPC_PTvsPSall[Year],_7D_GDPPC_PTvsPSall[Czechia/GDP per capita],"",0)</f>
        <v>6487.4139999999989</v>
      </c>
      <c r="D11" s="1">
        <f>_7D_GDPPC_PTvsPSall3[[#This Row],[Portugal/GDP per capita]]-_xlfn.XLOOKUP(_7D_GDPPC_PTvsPSall3[[#This Row],[Year]],_7D_GDPPC_PTvsPSall[Year],_7D_GDPPC_PTvsPSall[Hungary/GDP per capita],"",0)</f>
        <v>10273.197999999999</v>
      </c>
      <c r="E11" s="1">
        <f>_7D_GDPPC_PTvsPSall3[[#This Row],[Portugal/GDP per capita]]-_xlfn.XLOOKUP(_7D_GDPPC_PTvsPSall3[[#This Row],[Year]],_7D_GDPPC_PTvsPSall[Year],_7D_GDPPC_PTvsPSall[Poland/GDP per capita],"",0)</f>
        <v>10531.501999999999</v>
      </c>
      <c r="F11" s="1">
        <f>_7D_GDPPC_PTvsPSall3[[#This Row],[Portugal/GDP per capita]]-_xlfn.XLOOKUP(_7D_GDPPC_PTvsPSall3[[#This Row],[Year]],_7D_GDPPC_PTvsPSall[Year],_7D_GDPPC_PTvsPSall[Romania/GDP per capita],"",0)</f>
        <v>15975.988999999998</v>
      </c>
      <c r="G11" s="1">
        <f>_7D_GDPPC_PTvsPSall3[[#This Row],[Portugal/GDP per capita]]-_xlfn.XLOOKUP(_7D_GDPPC_PTvsPSall3[[#This Row],[Year]],_7D_GDPPC_PTvsPSall[Year],_7D_GDPPC_PTvsPSall[Estonia/GDP per capita],"",0)</f>
        <v>7254.8159999999989</v>
      </c>
      <c r="H11" s="1">
        <f>_7D_GDPPC_PTvsPSall3[[#This Row],[Portugal/GDP per capita]]-_xlfn.XLOOKUP(_7D_GDPPC_PTvsPSall3[[#This Row],[Year]],_7D_GDPPC_PTvsPSall[Year],_7D_GDPPC_PTvsPSall[Latvia/GDP per capita],"",0)</f>
        <v>11882.215999999999</v>
      </c>
      <c r="I11" s="1">
        <f>_7D_GDPPC_PTvsPSall3[[#This Row],[Portugal/GDP per capita]]-_xlfn.XLOOKUP(_7D_GDPPC_PTvsPSall3[[#This Row],[Year]],_7D_GDPPC_PTvsPSall[Year],_7D_GDPPC_PTvsPSall[Lithuania/GDP per capita],"",0)</f>
        <v>12253.526499999998</v>
      </c>
    </row>
    <row r="12" spans="1:9" x14ac:dyDescent="0.35">
      <c r="A12">
        <v>2000</v>
      </c>
      <c r="B12" s="1">
        <v>23372.041000000001</v>
      </c>
      <c r="C12" s="1">
        <f>_7D_GDPPC_PTvsPSall3[[#This Row],[Portugal/GDP per capita]]-_xlfn.XLOOKUP(_7D_GDPPC_PTvsPSall3[[#This Row],[Year]],_7D_GDPPC_PTvsPSall[Year],_7D_GDPPC_PTvsPSall[Czechia/GDP per capita],"",0)</f>
        <v>6315.8810000000012</v>
      </c>
      <c r="D12" s="1">
        <f>_7D_GDPPC_PTvsPSall3[[#This Row],[Portugal/GDP per capita]]-_xlfn.XLOOKUP(_7D_GDPPC_PTvsPSall3[[#This Row],[Year]],_7D_GDPPC_PTvsPSall[Year],_7D_GDPPC_PTvsPSall[Hungary/GDP per capita],"",0)</f>
        <v>10242.768000000002</v>
      </c>
      <c r="E12" s="1">
        <f>_7D_GDPPC_PTvsPSall3[[#This Row],[Portugal/GDP per capita]]-_xlfn.XLOOKUP(_7D_GDPPC_PTvsPSall3[[#This Row],[Year]],_7D_GDPPC_PTvsPSall[Year],_7D_GDPPC_PTvsPSall[Poland/GDP per capita],"",0)</f>
        <v>10639.874000000002</v>
      </c>
      <c r="F12" s="1">
        <f>_7D_GDPPC_PTvsPSall3[[#This Row],[Portugal/GDP per capita]]-_xlfn.XLOOKUP(_7D_GDPPC_PTvsPSall3[[#This Row],[Year]],_7D_GDPPC_PTvsPSall[Year],_7D_GDPPC_PTvsPSall[Romania/GDP per capita],"",0)</f>
        <v>16282.094700000001</v>
      </c>
      <c r="G12" s="1">
        <f>_7D_GDPPC_PTvsPSall3[[#This Row],[Portugal/GDP per capita]]-_xlfn.XLOOKUP(_7D_GDPPC_PTvsPSall3[[#This Row],[Year]],_7D_GDPPC_PTvsPSall[Year],_7D_GDPPC_PTvsPSall[Estonia/GDP per capita],"",0)</f>
        <v>6565.0660000000025</v>
      </c>
      <c r="H12" s="1">
        <f>_7D_GDPPC_PTvsPSall3[[#This Row],[Portugal/GDP per capita]]-_xlfn.XLOOKUP(_7D_GDPPC_PTvsPSall3[[#This Row],[Year]],_7D_GDPPC_PTvsPSall[Year],_7D_GDPPC_PTvsPSall[Latvia/GDP per capita],"",0)</f>
        <v>12062.301000000001</v>
      </c>
      <c r="I12" s="1">
        <f>_7D_GDPPC_PTvsPSall3[[#This Row],[Portugal/GDP per capita]]-_xlfn.XLOOKUP(_7D_GDPPC_PTvsPSall3[[#This Row],[Year]],_7D_GDPPC_PTvsPSall[Year],_7D_GDPPC_PTvsPSall[Lithuania/GDP per capita],"",0)</f>
        <v>12565.167000000001</v>
      </c>
    </row>
    <row r="13" spans="1:9" x14ac:dyDescent="0.35">
      <c r="A13">
        <v>2001</v>
      </c>
      <c r="B13" s="1">
        <v>23751.370999999999</v>
      </c>
      <c r="C13" s="1">
        <f>_7D_GDPPC_PTvsPSall3[[#This Row],[Portugal/GDP per capita]]-_xlfn.XLOOKUP(_7D_GDPPC_PTvsPSall3[[#This Row],[Year]],_7D_GDPPC_PTvsPSall[Year],_7D_GDPPC_PTvsPSall[Czechia/GDP per capita],"",0)</f>
        <v>5882.8029999999999</v>
      </c>
      <c r="D13" s="1">
        <f>_7D_GDPPC_PTvsPSall3[[#This Row],[Portugal/GDP per capita]]-_xlfn.XLOOKUP(_7D_GDPPC_PTvsPSall3[[#This Row],[Year]],_7D_GDPPC_PTvsPSall[Year],_7D_GDPPC_PTvsPSall[Hungary/GDP per capita],"",0)</f>
        <v>9817.8089999999993</v>
      </c>
      <c r="E13" s="1">
        <f>_7D_GDPPC_PTvsPSall3[[#This Row],[Portugal/GDP per capita]]-_xlfn.XLOOKUP(_7D_GDPPC_PTvsPSall3[[#This Row],[Year]],_7D_GDPPC_PTvsPSall[Year],_7D_GDPPC_PTvsPSall[Poland/GDP per capita],"",0)</f>
        <v>10733.786999999998</v>
      </c>
      <c r="F13" s="1">
        <f>_7D_GDPPC_PTvsPSall3[[#This Row],[Portugal/GDP per capita]]-_xlfn.XLOOKUP(_7D_GDPPC_PTvsPSall3[[#This Row],[Year]],_7D_GDPPC_PTvsPSall[Year],_7D_GDPPC_PTvsPSall[Romania/GDP per capita],"",0)</f>
        <v>15890.927599999999</v>
      </c>
      <c r="G13" s="1">
        <f>_7D_GDPPC_PTvsPSall3[[#This Row],[Portugal/GDP per capita]]-_xlfn.XLOOKUP(_7D_GDPPC_PTvsPSall3[[#This Row],[Year]],_7D_GDPPC_PTvsPSall[Year],_7D_GDPPC_PTvsPSall[Estonia/GDP per capita],"",0)</f>
        <v>6054.7609999999986</v>
      </c>
      <c r="H13" s="1">
        <f>_7D_GDPPC_PTvsPSall3[[#This Row],[Portugal/GDP per capita]]-_xlfn.XLOOKUP(_7D_GDPPC_PTvsPSall3[[#This Row],[Year]],_7D_GDPPC_PTvsPSall[Year],_7D_GDPPC_PTvsPSall[Latvia/GDP per capita],"",0)</f>
        <v>11647.543</v>
      </c>
      <c r="I13" s="1">
        <f>_7D_GDPPC_PTvsPSall3[[#This Row],[Portugal/GDP per capita]]-_xlfn.XLOOKUP(_7D_GDPPC_PTvsPSall3[[#This Row],[Year]],_7D_GDPPC_PTvsPSall[Year],_7D_GDPPC_PTvsPSall[Lithuania/GDP per capita],"",0)</f>
        <v>12144.642</v>
      </c>
    </row>
    <row r="14" spans="1:9" x14ac:dyDescent="0.35">
      <c r="A14">
        <v>2002</v>
      </c>
      <c r="B14" s="1">
        <v>23896.458999999999</v>
      </c>
      <c r="C14" s="1">
        <f>_7D_GDPPC_PTvsPSall3[[#This Row],[Portugal/GDP per capita]]-_xlfn.XLOOKUP(_7D_GDPPC_PTvsPSall3[[#This Row],[Year]],_7D_GDPPC_PTvsPSall[Year],_7D_GDPPC_PTvsPSall[Czechia/GDP per capita],"",0)</f>
        <v>5465.4320000000007</v>
      </c>
      <c r="D14" s="1">
        <f>_7D_GDPPC_PTvsPSall3[[#This Row],[Portugal/GDP per capita]]-_xlfn.XLOOKUP(_7D_GDPPC_PTvsPSall3[[#This Row],[Year]],_7D_GDPPC_PTvsPSall[Year],_7D_GDPPC_PTvsPSall[Hungary/GDP per capita],"",0)</f>
        <v>8997.1519999999982</v>
      </c>
      <c r="E14" s="1">
        <f>_7D_GDPPC_PTvsPSall3[[#This Row],[Portugal/GDP per capita]]-_xlfn.XLOOKUP(_7D_GDPPC_PTvsPSall3[[#This Row],[Year]],_7D_GDPPC_PTvsPSall[Year],_7D_GDPPC_PTvsPSall[Poland/GDP per capita],"",0)</f>
        <v>10480.887999999999</v>
      </c>
      <c r="F14" s="1">
        <f>_7D_GDPPC_PTvsPSall3[[#This Row],[Portugal/GDP per capita]]-_xlfn.XLOOKUP(_7D_GDPPC_PTvsPSall3[[#This Row],[Year]],_7D_GDPPC_PTvsPSall[Year],_7D_GDPPC_PTvsPSall[Romania/GDP per capita],"",0)</f>
        <v>15222.839999999998</v>
      </c>
      <c r="G14" s="1">
        <f>_7D_GDPPC_PTvsPSall3[[#This Row],[Portugal/GDP per capita]]-_xlfn.XLOOKUP(_7D_GDPPC_PTvsPSall3[[#This Row],[Year]],_7D_GDPPC_PTvsPSall[Year],_7D_GDPPC_PTvsPSall[Estonia/GDP per capita],"",0)</f>
        <v>5307.3089999999975</v>
      </c>
      <c r="H14" s="1">
        <f>_7D_GDPPC_PTvsPSall3[[#This Row],[Portugal/GDP per capita]]-_xlfn.XLOOKUP(_7D_GDPPC_PTvsPSall3[[#This Row],[Year]],_7D_GDPPC_PTvsPSall[Year],_7D_GDPPC_PTvsPSall[Latvia/GDP per capita],"",0)</f>
        <v>10880.983999999999</v>
      </c>
      <c r="I14" s="1">
        <f>_7D_GDPPC_PTvsPSall3[[#This Row],[Portugal/GDP per capita]]-_xlfn.XLOOKUP(_7D_GDPPC_PTvsPSall3[[#This Row],[Year]],_7D_GDPPC_PTvsPSall[Year],_7D_GDPPC_PTvsPSall[Lithuania/GDP per capita],"",0)</f>
        <v>11405.838</v>
      </c>
    </row>
    <row r="15" spans="1:9" x14ac:dyDescent="0.35">
      <c r="A15">
        <v>2003</v>
      </c>
      <c r="B15" s="1">
        <v>23677.52</v>
      </c>
      <c r="C15" s="1">
        <f>_7D_GDPPC_PTvsPSall3[[#This Row],[Portugal/GDP per capita]]-_xlfn.XLOOKUP(_7D_GDPPC_PTvsPSall3[[#This Row],[Year]],_7D_GDPPC_PTvsPSall[Year],_7D_GDPPC_PTvsPSall[Czechia/GDP per capita],"",0)</f>
        <v>4333.43</v>
      </c>
      <c r="D15" s="1">
        <f>_7D_GDPPC_PTvsPSall3[[#This Row],[Portugal/GDP per capita]]-_xlfn.XLOOKUP(_7D_GDPPC_PTvsPSall3[[#This Row],[Year]],_7D_GDPPC_PTvsPSall[Year],_7D_GDPPC_PTvsPSall[Hungary/GDP per capita],"",0)</f>
        <v>7847.6200000000008</v>
      </c>
      <c r="E15" s="1">
        <f>_7D_GDPPC_PTvsPSall3[[#This Row],[Portugal/GDP per capita]]-_xlfn.XLOOKUP(_7D_GDPPC_PTvsPSall3[[#This Row],[Year]],_7D_GDPPC_PTvsPSall[Year],_7D_GDPPC_PTvsPSall[Poland/GDP per capita],"",0)</f>
        <v>9641.8829999999998</v>
      </c>
      <c r="F15" s="1">
        <f>_7D_GDPPC_PTvsPSall3[[#This Row],[Portugal/GDP per capita]]-_xlfn.XLOOKUP(_7D_GDPPC_PTvsPSall3[[#This Row],[Year]],_7D_GDPPC_PTvsPSall[Year],_7D_GDPPC_PTvsPSall[Romania/GDP per capita],"",0)</f>
        <v>14308.287</v>
      </c>
      <c r="G15" s="1">
        <f>_7D_GDPPC_PTvsPSall3[[#This Row],[Portugal/GDP per capita]]-_xlfn.XLOOKUP(_7D_GDPPC_PTvsPSall3[[#This Row],[Year]],_7D_GDPPC_PTvsPSall[Year],_7D_GDPPC_PTvsPSall[Estonia/GDP per capita],"",0)</f>
        <v>3905.7780000000021</v>
      </c>
      <c r="H15" s="1">
        <f>_7D_GDPPC_PTvsPSall3[[#This Row],[Portugal/GDP per capita]]-_xlfn.XLOOKUP(_7D_GDPPC_PTvsPSall3[[#This Row],[Year]],_7D_GDPPC_PTvsPSall[Year],_7D_GDPPC_PTvsPSall[Latvia/GDP per capita],"",0)</f>
        <v>9535.3950000000004</v>
      </c>
      <c r="I15" s="1">
        <f>_7D_GDPPC_PTvsPSall3[[#This Row],[Portugal/GDP per capita]]-_xlfn.XLOOKUP(_7D_GDPPC_PTvsPSall3[[#This Row],[Year]],_7D_GDPPC_PTvsPSall[Year],_7D_GDPPC_PTvsPSall[Lithuania/GDP per capita],"",0)</f>
        <v>9760.0120000000006</v>
      </c>
    </row>
    <row r="16" spans="1:9" x14ac:dyDescent="0.35">
      <c r="A16">
        <v>2004</v>
      </c>
      <c r="B16" s="1">
        <v>24142.766</v>
      </c>
      <c r="C16" s="1">
        <f>_7D_GDPPC_PTvsPSall3[[#This Row],[Portugal/GDP per capita]]-_xlfn.XLOOKUP(_7D_GDPPC_PTvsPSall3[[#This Row],[Year]],_7D_GDPPC_PTvsPSall[Year],_7D_GDPPC_PTvsPSall[Czechia/GDP per capita],"",0)</f>
        <v>3587.7309999999998</v>
      </c>
      <c r="D16" s="1">
        <f>_7D_GDPPC_PTvsPSall3[[#This Row],[Portugal/GDP per capita]]-_xlfn.XLOOKUP(_7D_GDPPC_PTvsPSall3[[#This Row],[Year]],_7D_GDPPC_PTvsPSall[Year],_7D_GDPPC_PTvsPSall[Hungary/GDP per capita],"",0)</f>
        <v>7143.7599999999984</v>
      </c>
      <c r="E16" s="1">
        <f>_7D_GDPPC_PTvsPSall3[[#This Row],[Portugal/GDP per capita]]-_xlfn.XLOOKUP(_7D_GDPPC_PTvsPSall3[[#This Row],[Year]],_7D_GDPPC_PTvsPSall[Year],_7D_GDPPC_PTvsPSall[Poland/GDP per capita],"",0)</f>
        <v>9236.6720000000005</v>
      </c>
      <c r="F16" s="1">
        <f>_7D_GDPPC_PTvsPSall3[[#This Row],[Portugal/GDP per capita]]-_xlfn.XLOOKUP(_7D_GDPPC_PTvsPSall3[[#This Row],[Year]],_7D_GDPPC_PTvsPSall[Year],_7D_GDPPC_PTvsPSall[Romania/GDP per capita],"",0)</f>
        <v>13611.593999999999</v>
      </c>
      <c r="G16" s="1">
        <f>_7D_GDPPC_PTvsPSall3[[#This Row],[Portugal/GDP per capita]]-_xlfn.XLOOKUP(_7D_GDPPC_PTvsPSall3[[#This Row],[Year]],_7D_GDPPC_PTvsPSall[Year],_7D_GDPPC_PTvsPSall[Estonia/GDP per capita],"",0)</f>
        <v>3339.007999999998</v>
      </c>
      <c r="H16" s="1">
        <f>_7D_GDPPC_PTvsPSall3[[#This Row],[Portugal/GDP per capita]]-_xlfn.XLOOKUP(_7D_GDPPC_PTvsPSall3[[#This Row],[Year]],_7D_GDPPC_PTvsPSall[Year],_7D_GDPPC_PTvsPSall[Latvia/GDP per capita],"",0)</f>
        <v>8771.5839999999989</v>
      </c>
      <c r="I16" s="1">
        <f>_7D_GDPPC_PTvsPSall3[[#This Row],[Portugal/GDP per capita]]-_xlfn.XLOOKUP(_7D_GDPPC_PTvsPSall3[[#This Row],[Year]],_7D_GDPPC_PTvsPSall[Year],_7D_GDPPC_PTvsPSall[Lithuania/GDP per capita],"",0)</f>
        <v>9146.9989999999998</v>
      </c>
    </row>
    <row r="17" spans="1:9" x14ac:dyDescent="0.35">
      <c r="A17">
        <v>2005</v>
      </c>
      <c r="B17" s="1">
        <v>24377.95</v>
      </c>
      <c r="C17" s="1">
        <f>_7D_GDPPC_PTvsPSall3[[#This Row],[Portugal/GDP per capita]]-_xlfn.XLOOKUP(_7D_GDPPC_PTvsPSall3[[#This Row],[Year]],_7D_GDPPC_PTvsPSall[Year],_7D_GDPPC_PTvsPSall[Czechia/GDP per capita],"",0)</f>
        <v>2249.369999999999</v>
      </c>
      <c r="D17" s="1">
        <f>_7D_GDPPC_PTvsPSall3[[#This Row],[Portugal/GDP per capita]]-_xlfn.XLOOKUP(_7D_GDPPC_PTvsPSall3[[#This Row],[Year]],_7D_GDPPC_PTvsPSall[Year],_7D_GDPPC_PTvsPSall[Hungary/GDP per capita],"",0)</f>
        <v>6237.3330000000024</v>
      </c>
      <c r="E17" s="1">
        <f>_7D_GDPPC_PTvsPSall3[[#This Row],[Portugal/GDP per capita]]-_xlfn.XLOOKUP(_7D_GDPPC_PTvsPSall3[[#This Row],[Year]],_7D_GDPPC_PTvsPSall[Year],_7D_GDPPC_PTvsPSall[Poland/GDP per capita],"",0)</f>
        <v>8797.0130000000008</v>
      </c>
      <c r="F17" s="1">
        <f>_7D_GDPPC_PTvsPSall3[[#This Row],[Portugal/GDP per capita]]-_xlfn.XLOOKUP(_7D_GDPPC_PTvsPSall3[[#This Row],[Year]],_7D_GDPPC_PTvsPSall[Year],_7D_GDPPC_PTvsPSall[Romania/GDP per capita],"",0)</f>
        <v>13064.128000000001</v>
      </c>
      <c r="G17" s="1">
        <f>_7D_GDPPC_PTvsPSall3[[#This Row],[Portugal/GDP per capita]]-_xlfn.XLOOKUP(_7D_GDPPC_PTvsPSall3[[#This Row],[Year]],_7D_GDPPC_PTvsPSall[Year],_7D_GDPPC_PTvsPSall[Estonia/GDP per capita],"",0)</f>
        <v>1859.4089999999997</v>
      </c>
      <c r="H17" s="1">
        <f>_7D_GDPPC_PTvsPSall3[[#This Row],[Portugal/GDP per capita]]-_xlfn.XLOOKUP(_7D_GDPPC_PTvsPSall3[[#This Row],[Year]],_7D_GDPPC_PTvsPSall[Year],_7D_GDPPC_PTvsPSall[Latvia/GDP per capita],"",0)</f>
        <v>7308.2940000000017</v>
      </c>
      <c r="I17" s="1">
        <f>_7D_GDPPC_PTvsPSall3[[#This Row],[Portugal/GDP per capita]]-_xlfn.XLOOKUP(_7D_GDPPC_PTvsPSall3[[#This Row],[Year]],_7D_GDPPC_PTvsPSall[Year],_7D_GDPPC_PTvsPSall[Lithuania/GDP per capita],"",0)</f>
        <v>7960</v>
      </c>
    </row>
    <row r="18" spans="1:9" x14ac:dyDescent="0.35">
      <c r="A18">
        <v>2006</v>
      </c>
      <c r="B18" s="1">
        <v>24809.040000000001</v>
      </c>
      <c r="C18" s="1">
        <f>_7D_GDPPC_PTvsPSall3[[#This Row],[Portugal/GDP per capita]]-_xlfn.XLOOKUP(_7D_GDPPC_PTvsPSall3[[#This Row],[Year]],_7D_GDPPC_PTvsPSall[Year],_7D_GDPPC_PTvsPSall[Czechia/GDP per capita],"",0)</f>
        <v>920.8760000000002</v>
      </c>
      <c r="D18" s="1">
        <f>_7D_GDPPC_PTvsPSall3[[#This Row],[Portugal/GDP per capita]]-_xlfn.XLOOKUP(_7D_GDPPC_PTvsPSall3[[#This Row],[Year]],_7D_GDPPC_PTvsPSall[Year],_7D_GDPPC_PTvsPSall[Hungary/GDP per capita],"",0)</f>
        <v>5555.9779999999992</v>
      </c>
      <c r="E18" s="1">
        <f>_7D_GDPPC_PTvsPSall3[[#This Row],[Portugal/GDP per capita]]-_xlfn.XLOOKUP(_7D_GDPPC_PTvsPSall3[[#This Row],[Year]],_7D_GDPPC_PTvsPSall[Year],_7D_GDPPC_PTvsPSall[Poland/GDP per capita],"",0)</f>
        <v>8097.5930000000008</v>
      </c>
      <c r="F18" s="1">
        <f>_7D_GDPPC_PTvsPSall3[[#This Row],[Portugal/GDP per capita]]-_xlfn.XLOOKUP(_7D_GDPPC_PTvsPSall3[[#This Row],[Year]],_7D_GDPPC_PTvsPSall[Year],_7D_GDPPC_PTvsPSall[Romania/GDP per capita],"",0)</f>
        <v>11985.809000000001</v>
      </c>
      <c r="G18" s="1">
        <f>_7D_GDPPC_PTvsPSall3[[#This Row],[Portugal/GDP per capita]]-_xlfn.XLOOKUP(_7D_GDPPC_PTvsPSall3[[#This Row],[Year]],_7D_GDPPC_PTvsPSall[Year],_7D_GDPPC_PTvsPSall[Estonia/GDP per capita],"",0)</f>
        <v>230.22400000000198</v>
      </c>
      <c r="H18" s="1">
        <f>_7D_GDPPC_PTvsPSall3[[#This Row],[Portugal/GDP per capita]]-_xlfn.XLOOKUP(_7D_GDPPC_PTvsPSall3[[#This Row],[Year]],_7D_GDPPC_PTvsPSall[Year],_7D_GDPPC_PTvsPSall[Latvia/GDP per capita],"",0)</f>
        <v>5680.3500000000022</v>
      </c>
      <c r="I18" s="1">
        <f>_7D_GDPPC_PTvsPSall3[[#This Row],[Portugal/GDP per capita]]-_xlfn.XLOOKUP(_7D_GDPPC_PTvsPSall3[[#This Row],[Year]],_7D_GDPPC_PTvsPSall[Year],_7D_GDPPC_PTvsPSall[Lithuania/GDP per capita],"",0)</f>
        <v>6892.9809999999998</v>
      </c>
    </row>
    <row r="19" spans="1:9" x14ac:dyDescent="0.35">
      <c r="A19">
        <v>2007</v>
      </c>
      <c r="B19" s="1">
        <v>25477.205000000002</v>
      </c>
      <c r="C19" s="1">
        <f>_7D_GDPPC_PTvsPSall3[[#This Row],[Portugal/GDP per capita]]-_xlfn.XLOOKUP(_7D_GDPPC_PTvsPSall3[[#This Row],[Year]],_7D_GDPPC_PTvsPSall[Year],_7D_GDPPC_PTvsPSall[Czechia/GDP per capita],"",0)</f>
        <v>94.398000000001048</v>
      </c>
      <c r="D19" s="1">
        <f>_7D_GDPPC_PTvsPSall3[[#This Row],[Portugal/GDP per capita]]-_xlfn.XLOOKUP(_7D_GDPPC_PTvsPSall3[[#This Row],[Year]],_7D_GDPPC_PTvsPSall[Year],_7D_GDPPC_PTvsPSall[Hungary/GDP per capita],"",0)</f>
        <v>5713.4140000000007</v>
      </c>
      <c r="E19" s="1">
        <f>_7D_GDPPC_PTvsPSall3[[#This Row],[Portugal/GDP per capita]]-_xlfn.XLOOKUP(_7D_GDPPC_PTvsPSall3[[#This Row],[Year]],_7D_GDPPC_PTvsPSall[Year],_7D_GDPPC_PTvsPSall[Poland/GDP per capita],"",0)</f>
        <v>7409.7770000000019</v>
      </c>
      <c r="F19" s="1">
        <f>_7D_GDPPC_PTvsPSall3[[#This Row],[Portugal/GDP per capita]]-_xlfn.XLOOKUP(_7D_GDPPC_PTvsPSall3[[#This Row],[Year]],_7D_GDPPC_PTvsPSall[Year],_7D_GDPPC_PTvsPSall[Romania/GDP per capita],"",0)</f>
        <v>11058.375000000002</v>
      </c>
      <c r="G19" s="1">
        <f>_7D_GDPPC_PTvsPSall3[[#This Row],[Portugal/GDP per capita]]-_xlfn.XLOOKUP(_7D_GDPPC_PTvsPSall3[[#This Row],[Year]],_7D_GDPPC_PTvsPSall[Year],_7D_GDPPC_PTvsPSall[Estonia/GDP per capita],"",0)</f>
        <v>-700.66599999999744</v>
      </c>
      <c r="H19" s="1">
        <f>_7D_GDPPC_PTvsPSall3[[#This Row],[Portugal/GDP per capita]]-_xlfn.XLOOKUP(_7D_GDPPC_PTvsPSall3[[#This Row],[Year]],_7D_GDPPC_PTvsPSall[Year],_7D_GDPPC_PTvsPSall[Latvia/GDP per capita],"",0)</f>
        <v>4434.8380000000034</v>
      </c>
      <c r="I19" s="1">
        <f>_7D_GDPPC_PTvsPSall3[[#This Row],[Portugal/GDP per capita]]-_xlfn.XLOOKUP(_7D_GDPPC_PTvsPSall3[[#This Row],[Year]],_7D_GDPPC_PTvsPSall[Year],_7D_GDPPC_PTvsPSall[Lithuania/GDP per capita],"",0)</f>
        <v>5338.732</v>
      </c>
    </row>
    <row r="20" spans="1:9" x14ac:dyDescent="0.35">
      <c r="A20">
        <v>2008</v>
      </c>
      <c r="B20" s="1">
        <v>25590.880000000001</v>
      </c>
      <c r="C20" s="1">
        <f>_7D_GDPPC_PTvsPSall3[[#This Row],[Portugal/GDP per capita]]-_xlfn.XLOOKUP(_7D_GDPPC_PTvsPSall3[[#This Row],[Year]],_7D_GDPPC_PTvsPSall[Year],_7D_GDPPC_PTvsPSall[Czechia/GDP per capita],"",0)</f>
        <v>-595.16499999999724</v>
      </c>
      <c r="D20" s="1">
        <f>_7D_GDPPC_PTvsPSall3[[#This Row],[Portugal/GDP per capita]]-_xlfn.XLOOKUP(_7D_GDPPC_PTvsPSall3[[#This Row],[Year]],_7D_GDPPC_PTvsPSall[Year],_7D_GDPPC_PTvsPSall[Hungary/GDP per capita],"",0)</f>
        <v>5210.25</v>
      </c>
      <c r="E20" s="1">
        <f>_7D_GDPPC_PTvsPSall3[[#This Row],[Portugal/GDP per capita]]-_xlfn.XLOOKUP(_7D_GDPPC_PTvsPSall3[[#This Row],[Year]],_7D_GDPPC_PTvsPSall[Year],_7D_GDPPC_PTvsPSall[Poland/GDP per capita],"",0)</f>
        <v>6579.3330000000024</v>
      </c>
      <c r="F20" s="1">
        <f>_7D_GDPPC_PTvsPSall3[[#This Row],[Portugal/GDP per capita]]-_xlfn.XLOOKUP(_7D_GDPPC_PTvsPSall3[[#This Row],[Year]],_7D_GDPPC_PTvsPSall[Year],_7D_GDPPC_PTvsPSall[Romania/GDP per capita],"",0)</f>
        <v>9243.5360000000019</v>
      </c>
      <c r="G20" s="1">
        <f>_7D_GDPPC_PTvsPSall3[[#This Row],[Portugal/GDP per capita]]-_xlfn.XLOOKUP(_7D_GDPPC_PTvsPSall3[[#This Row],[Year]],_7D_GDPPC_PTvsPSall[Year],_7D_GDPPC_PTvsPSall[Estonia/GDP per capita],"",0)</f>
        <v>1161.8590000000004</v>
      </c>
      <c r="H20" s="1">
        <f>_7D_GDPPC_PTvsPSall3[[#This Row],[Portugal/GDP per capita]]-_xlfn.XLOOKUP(_7D_GDPPC_PTvsPSall3[[#This Row],[Year]],_7D_GDPPC_PTvsPSall[Year],_7D_GDPPC_PTvsPSall[Latvia/GDP per capita],"",0)</f>
        <v>5248.68</v>
      </c>
      <c r="I20" s="1">
        <f>_7D_GDPPC_PTvsPSall3[[#This Row],[Portugal/GDP per capita]]-_xlfn.XLOOKUP(_7D_GDPPC_PTvsPSall3[[#This Row],[Year]],_7D_GDPPC_PTvsPSall[Year],_7D_GDPPC_PTvsPSall[Lithuania/GDP per capita],"",0)</f>
        <v>4711.0770000000011</v>
      </c>
    </row>
    <row r="21" spans="1:9" x14ac:dyDescent="0.35">
      <c r="A21">
        <v>2009</v>
      </c>
      <c r="B21" s="1">
        <v>24902.456999999999</v>
      </c>
      <c r="C21" s="1">
        <f>_7D_GDPPC_PTvsPSall3[[#This Row],[Portugal/GDP per capita]]-_xlfn.XLOOKUP(_7D_GDPPC_PTvsPSall3[[#This Row],[Year]],_7D_GDPPC_PTvsPSall[Year],_7D_GDPPC_PTvsPSall[Czechia/GDP per capita],"",0)</f>
        <v>-191.40600000000268</v>
      </c>
      <c r="D21" s="1">
        <f>_7D_GDPPC_PTvsPSall3[[#This Row],[Portugal/GDP per capita]]-_xlfn.XLOOKUP(_7D_GDPPC_PTvsPSall3[[#This Row],[Year]],_7D_GDPPC_PTvsPSall[Year],_7D_GDPPC_PTvsPSall[Hungary/GDP per capita],"",0)</f>
        <v>5441.3869999999988</v>
      </c>
      <c r="E21" s="1">
        <f>_7D_GDPPC_PTvsPSall3[[#This Row],[Portugal/GDP per capita]]-_xlfn.XLOOKUP(_7D_GDPPC_PTvsPSall3[[#This Row],[Year]],_7D_GDPPC_PTvsPSall[Year],_7D_GDPPC_PTvsPSall[Poland/GDP per capita],"",0)</f>
        <v>5183.9919999999984</v>
      </c>
      <c r="F21" s="1">
        <f>_7D_GDPPC_PTvsPSall3[[#This Row],[Portugal/GDP per capita]]-_xlfn.XLOOKUP(_7D_GDPPC_PTvsPSall3[[#This Row],[Year]],_7D_GDPPC_PTvsPSall[Year],_7D_GDPPC_PTvsPSall[Romania/GDP per capita],"",0)</f>
        <v>9036.3299999999981</v>
      </c>
      <c r="G21" s="1">
        <f>_7D_GDPPC_PTvsPSall3[[#This Row],[Portugal/GDP per capita]]-_xlfn.XLOOKUP(_7D_GDPPC_PTvsPSall3[[#This Row],[Year]],_7D_GDPPC_PTvsPSall[Year],_7D_GDPPC_PTvsPSall[Estonia/GDP per capita],"",0)</f>
        <v>4364.4079999999994</v>
      </c>
      <c r="H21" s="1">
        <f>_7D_GDPPC_PTvsPSall3[[#This Row],[Portugal/GDP per capita]]-_xlfn.XLOOKUP(_7D_GDPPC_PTvsPSall3[[#This Row],[Year]],_7D_GDPPC_PTvsPSall[Year],_7D_GDPPC_PTvsPSall[Latvia/GDP per capita],"",0)</f>
        <v>7320.3459999999977</v>
      </c>
      <c r="I21" s="1">
        <f>_7D_GDPPC_PTvsPSall3[[#This Row],[Portugal/GDP per capita]]-_xlfn.XLOOKUP(_7D_GDPPC_PTvsPSall3[[#This Row],[Year]],_7D_GDPPC_PTvsPSall[Year],_7D_GDPPC_PTvsPSall[Lithuania/GDP per capita],"",0)</f>
        <v>6919.107</v>
      </c>
    </row>
    <row r="22" spans="1:9" x14ac:dyDescent="0.35">
      <c r="A22">
        <v>2010</v>
      </c>
      <c r="B22" s="1">
        <v>25463.164000000001</v>
      </c>
      <c r="C22" s="1">
        <f>_7D_GDPPC_PTvsPSall3[[#This Row],[Portugal/GDP per capita]]-_xlfn.XLOOKUP(_7D_GDPPC_PTvsPSall3[[#This Row],[Year]],_7D_GDPPC_PTvsPSall[Year],_7D_GDPPC_PTvsPSall[Czechia/GDP per capita],"",0)</f>
        <v>-459.23099999999977</v>
      </c>
      <c r="D22" s="1">
        <f>_7D_GDPPC_PTvsPSall3[[#This Row],[Portugal/GDP per capita]]-_xlfn.XLOOKUP(_7D_GDPPC_PTvsPSall3[[#This Row],[Year]],_7D_GDPPC_PTvsPSall[Year],_7D_GDPPC_PTvsPSall[Hungary/GDP per capita],"",0)</f>
        <v>5426.8300000000017</v>
      </c>
      <c r="E22" s="1">
        <f>_7D_GDPPC_PTvsPSall3[[#This Row],[Portugal/GDP per capita]]-_xlfn.XLOOKUP(_7D_GDPPC_PTvsPSall3[[#This Row],[Year]],_7D_GDPPC_PTvsPSall[Year],_7D_GDPPC_PTvsPSall[Poland/GDP per capita],"",0)</f>
        <v>4854.4710000000014</v>
      </c>
      <c r="F22" s="1">
        <f>_7D_GDPPC_PTvsPSall3[[#This Row],[Portugal/GDP per capita]]-_xlfn.XLOOKUP(_7D_GDPPC_PTvsPSall3[[#This Row],[Year]],_7D_GDPPC_PTvsPSall[Year],_7D_GDPPC_PTvsPSall[Romania/GDP per capita],"",0)</f>
        <v>9085.8360000000011</v>
      </c>
      <c r="G22" s="1">
        <f>_7D_GDPPC_PTvsPSall3[[#This Row],[Portugal/GDP per capita]]-_xlfn.XLOOKUP(_7D_GDPPC_PTvsPSall3[[#This Row],[Year]],_7D_GDPPC_PTvsPSall[Year],_7D_GDPPC_PTvsPSall[Estonia/GDP per capita],"",0)</f>
        <v>4749.7380000000012</v>
      </c>
      <c r="H22" s="1">
        <f>_7D_GDPPC_PTvsPSall3[[#This Row],[Portugal/GDP per capita]]-_xlfn.XLOOKUP(_7D_GDPPC_PTvsPSall3[[#This Row],[Year]],_7D_GDPPC_PTvsPSall[Year],_7D_GDPPC_PTvsPSall[Latvia/GDP per capita],"",0)</f>
        <v>8322.9370000000017</v>
      </c>
      <c r="I22" s="1">
        <f>_7D_GDPPC_PTvsPSall3[[#This Row],[Portugal/GDP per capita]]-_xlfn.XLOOKUP(_7D_GDPPC_PTvsPSall3[[#This Row],[Year]],_7D_GDPPC_PTvsPSall[Year],_7D_GDPPC_PTvsPSall[Lithuania/GDP per capita],"",0)</f>
        <v>6799.4020000000019</v>
      </c>
    </row>
    <row r="23" spans="1:9" x14ac:dyDescent="0.35">
      <c r="A23">
        <v>2011</v>
      </c>
      <c r="B23" s="1">
        <v>25133</v>
      </c>
      <c r="C23" s="1">
        <f>_7D_GDPPC_PTvsPSall3[[#This Row],[Portugal/GDP per capita]]-_xlfn.XLOOKUP(_7D_GDPPC_PTvsPSall3[[#This Row],[Year]],_7D_GDPPC_PTvsPSall[Year],_7D_GDPPC_PTvsPSall[Czechia/GDP per capita],"",0)</f>
        <v>-1592</v>
      </c>
      <c r="D23" s="1">
        <f>_7D_GDPPC_PTvsPSall3[[#This Row],[Portugal/GDP per capita]]-_xlfn.XLOOKUP(_7D_GDPPC_PTvsPSall3[[#This Row],[Year]],_7D_GDPPC_PTvsPSall[Year],_7D_GDPPC_PTvsPSall[Hungary/GDP per capita],"",0)</f>
        <v>4247</v>
      </c>
      <c r="E23" s="1">
        <f>_7D_GDPPC_PTvsPSall3[[#This Row],[Portugal/GDP per capita]]-_xlfn.XLOOKUP(_7D_GDPPC_PTvsPSall3[[#This Row],[Year]],_7D_GDPPC_PTvsPSall[Year],_7D_GDPPC_PTvsPSall[Poland/GDP per capita],"",0)</f>
        <v>3296</v>
      </c>
      <c r="F23" s="1">
        <f>_7D_GDPPC_PTvsPSall3[[#This Row],[Portugal/GDP per capita]]-_xlfn.XLOOKUP(_7D_GDPPC_PTvsPSall3[[#This Row],[Year]],_7D_GDPPC_PTvsPSall[Year],_7D_GDPPC_PTvsPSall[Romania/GDP per capita],"",0)</f>
        <v>7959</v>
      </c>
      <c r="G23" s="1">
        <f>_7D_GDPPC_PTvsPSall3[[#This Row],[Portugal/GDP per capita]]-_xlfn.XLOOKUP(_7D_GDPPC_PTvsPSall3[[#This Row],[Year]],_7D_GDPPC_PTvsPSall[Year],_7D_GDPPC_PTvsPSall[Estonia/GDP per capita],"",0)</f>
        <v>3136</v>
      </c>
      <c r="H23" s="1">
        <f>_7D_GDPPC_PTvsPSall3[[#This Row],[Portugal/GDP per capita]]-_xlfn.XLOOKUP(_7D_GDPPC_PTvsPSall3[[#This Row],[Year]],_7D_GDPPC_PTvsPSall[Year],_7D_GDPPC_PTvsPSall[Latvia/GDP per capita],"",0)</f>
        <v>6705</v>
      </c>
      <c r="I23" s="1">
        <f>_7D_GDPPC_PTvsPSall3[[#This Row],[Portugal/GDP per capita]]-_xlfn.XLOOKUP(_7D_GDPPC_PTvsPSall3[[#This Row],[Year]],_7D_GDPPC_PTvsPSall[Year],_7D_GDPPC_PTvsPSall[Lithuania/GDP per capita],"",0)</f>
        <v>4890</v>
      </c>
    </row>
    <row r="24" spans="1:9" x14ac:dyDescent="0.35">
      <c r="A24">
        <v>2012</v>
      </c>
      <c r="B24" s="1">
        <v>24211.437999999998</v>
      </c>
      <c r="C24" s="1">
        <f>_7D_GDPPC_PTvsPSall3[[#This Row],[Portugal/GDP per capita]]-_xlfn.XLOOKUP(_7D_GDPPC_PTvsPSall3[[#This Row],[Year]],_7D_GDPPC_PTvsPSall[Year],_7D_GDPPC_PTvsPSall[Czechia/GDP per capita],"",0)</f>
        <v>-2271.9420000000027</v>
      </c>
      <c r="D24" s="1">
        <f>_7D_GDPPC_PTvsPSall3[[#This Row],[Portugal/GDP per capita]]-_xlfn.XLOOKUP(_7D_GDPPC_PTvsPSall3[[#This Row],[Year]],_7D_GDPPC_PTvsPSall[Year],_7D_GDPPC_PTvsPSall[Hungary/GDP per capita],"",0)</f>
        <v>3479.768</v>
      </c>
      <c r="E24" s="1">
        <f>_7D_GDPPC_PTvsPSall3[[#This Row],[Portugal/GDP per capita]]-_xlfn.XLOOKUP(_7D_GDPPC_PTvsPSall3[[#This Row],[Year]],_7D_GDPPC_PTvsPSall[Year],_7D_GDPPC_PTvsPSall[Poland/GDP per capita],"",0)</f>
        <v>2041.6119999999974</v>
      </c>
      <c r="F24" s="1">
        <f>_7D_GDPPC_PTvsPSall3[[#This Row],[Portugal/GDP per capita]]-_xlfn.XLOOKUP(_7D_GDPPC_PTvsPSall3[[#This Row],[Year]],_7D_GDPPC_PTvsPSall[Year],_7D_GDPPC_PTvsPSall[Romania/GDP per capita],"",0)</f>
        <v>6630.5059999999976</v>
      </c>
      <c r="G24" s="1">
        <f>_7D_GDPPC_PTvsPSall3[[#This Row],[Portugal/GDP per capita]]-_xlfn.XLOOKUP(_7D_GDPPC_PTvsPSall3[[#This Row],[Year]],_7D_GDPPC_PTvsPSall[Year],_7D_GDPPC_PTvsPSall[Estonia/GDP per capita],"",0)</f>
        <v>1427.137999999999</v>
      </c>
      <c r="H24" s="1">
        <f>_7D_GDPPC_PTvsPSall3[[#This Row],[Portugal/GDP per capita]]-_xlfn.XLOOKUP(_7D_GDPPC_PTvsPSall3[[#This Row],[Year]],_7D_GDPPC_PTvsPSall[Year],_7D_GDPPC_PTvsPSall[Latvia/GDP per capita],"",0)</f>
        <v>4241.4069999999992</v>
      </c>
      <c r="I24" s="1">
        <f>_7D_GDPPC_PTvsPSall3[[#This Row],[Portugal/GDP per capita]]-_xlfn.XLOOKUP(_7D_GDPPC_PTvsPSall3[[#This Row],[Year]],_7D_GDPPC_PTvsPSall[Year],_7D_GDPPC_PTvsPSall[Lithuania/GDP per capita],"",0)</f>
        <v>2906.4339999999975</v>
      </c>
    </row>
    <row r="25" spans="1:9" x14ac:dyDescent="0.35">
      <c r="A25">
        <v>2013</v>
      </c>
      <c r="B25" s="1">
        <v>24119.96</v>
      </c>
      <c r="C25" s="1">
        <f>_7D_GDPPC_PTvsPSall3[[#This Row],[Portugal/GDP per capita]]-_xlfn.XLOOKUP(_7D_GDPPC_PTvsPSall3[[#This Row],[Year]],_7D_GDPPC_PTvsPSall[Year],_7D_GDPPC_PTvsPSall[Czechia/GDP per capita],"",0)</f>
        <v>-2347.6690000000017</v>
      </c>
      <c r="D25" s="1">
        <f>_7D_GDPPC_PTvsPSall3[[#This Row],[Portugal/GDP per capita]]-_xlfn.XLOOKUP(_7D_GDPPC_PTvsPSall3[[#This Row],[Year]],_7D_GDPPC_PTvsPSall[Year],_7D_GDPPC_PTvsPSall[Hungary/GDP per capita],"",0)</f>
        <v>2956.3960000000006</v>
      </c>
      <c r="E25" s="1">
        <f>_7D_GDPPC_PTvsPSall3[[#This Row],[Portugal/GDP per capita]]-_xlfn.XLOOKUP(_7D_GDPPC_PTvsPSall3[[#This Row],[Year]],_7D_GDPPC_PTvsPSall[Year],_7D_GDPPC_PTvsPSall[Poland/GDP per capita],"",0)</f>
        <v>1741.6549999999988</v>
      </c>
      <c r="F25" s="1">
        <f>_7D_GDPPC_PTvsPSall3[[#This Row],[Portugal/GDP per capita]]-_xlfn.XLOOKUP(_7D_GDPPC_PTvsPSall3[[#This Row],[Year]],_7D_GDPPC_PTvsPSall[Year],_7D_GDPPC_PTvsPSall[Romania/GDP per capita],"",0)</f>
        <v>6428.5169999999998</v>
      </c>
      <c r="G25" s="1">
        <f>_7D_GDPPC_PTvsPSall3[[#This Row],[Portugal/GDP per capita]]-_xlfn.XLOOKUP(_7D_GDPPC_PTvsPSall3[[#This Row],[Year]],_7D_GDPPC_PTvsPSall[Year],_7D_GDPPC_PTvsPSall[Estonia/GDP per capita],"",0)</f>
        <v>915.84899999999834</v>
      </c>
      <c r="H25" s="1">
        <f>_7D_GDPPC_PTvsPSall3[[#This Row],[Portugal/GDP per capita]]-_xlfn.XLOOKUP(_7D_GDPPC_PTvsPSall3[[#This Row],[Year]],_7D_GDPPC_PTvsPSall[Year],_7D_GDPPC_PTvsPSall[Latvia/GDP per capita],"",0)</f>
        <v>3538.0419999999976</v>
      </c>
      <c r="I25" s="1">
        <f>_7D_GDPPC_PTvsPSall3[[#This Row],[Portugal/GDP per capita]]-_xlfn.XLOOKUP(_7D_GDPPC_PTvsPSall3[[#This Row],[Year]],_7D_GDPPC_PTvsPSall[Year],_7D_GDPPC_PTvsPSall[Lithuania/GDP per capita],"",0)</f>
        <v>1834.275999999998</v>
      </c>
    </row>
    <row r="26" spans="1:9" x14ac:dyDescent="0.35">
      <c r="A26">
        <v>2014</v>
      </c>
      <c r="B26" s="1">
        <v>24442.386999999999</v>
      </c>
      <c r="C26" s="1">
        <f>_7D_GDPPC_PTvsPSall3[[#This Row],[Portugal/GDP per capita]]-_xlfn.XLOOKUP(_7D_GDPPC_PTvsPSall3[[#This Row],[Year]],_7D_GDPPC_PTvsPSall[Year],_7D_GDPPC_PTvsPSall[Czechia/GDP per capita],"",0)</f>
        <v>-2587.8029999999999</v>
      </c>
      <c r="D26" s="1">
        <f>_7D_GDPPC_PTvsPSall3[[#This Row],[Portugal/GDP per capita]]-_xlfn.XLOOKUP(_7D_GDPPC_PTvsPSall3[[#This Row],[Year]],_7D_GDPPC_PTvsPSall[Year],_7D_GDPPC_PTvsPSall[Hungary/GDP per capita],"",0)</f>
        <v>2323.6369999999988</v>
      </c>
      <c r="E26" s="1">
        <f>_7D_GDPPC_PTvsPSall3[[#This Row],[Portugal/GDP per capita]]-_xlfn.XLOOKUP(_7D_GDPPC_PTvsPSall3[[#This Row],[Year]],_7D_GDPPC_PTvsPSall[Year],_7D_GDPPC_PTvsPSall[Poland/GDP per capita],"",0)</f>
        <v>1194.5689999999995</v>
      </c>
      <c r="F26" s="1">
        <f>_7D_GDPPC_PTvsPSall3[[#This Row],[Portugal/GDP per capita]]-_xlfn.XLOOKUP(_7D_GDPPC_PTvsPSall3[[#This Row],[Year]],_7D_GDPPC_PTvsPSall[Year],_7D_GDPPC_PTvsPSall[Romania/GDP per capita],"",0)</f>
        <v>5955.1270000000004</v>
      </c>
      <c r="G26" s="1">
        <f>_7D_GDPPC_PTvsPSall3[[#This Row],[Portugal/GDP per capita]]-_xlfn.XLOOKUP(_7D_GDPPC_PTvsPSall3[[#This Row],[Year]],_7D_GDPPC_PTvsPSall[Year],_7D_GDPPC_PTvsPSall[Estonia/GDP per capita],"",0)</f>
        <v>459.55899999999747</v>
      </c>
      <c r="H26" s="1">
        <f>_7D_GDPPC_PTvsPSall3[[#This Row],[Portugal/GDP per capita]]-_xlfn.XLOOKUP(_7D_GDPPC_PTvsPSall3[[#This Row],[Year]],_7D_GDPPC_PTvsPSall[Year],_7D_GDPPC_PTvsPSall[Latvia/GDP per capita],"",0)</f>
        <v>3273.851999999999</v>
      </c>
      <c r="I26" s="1">
        <f>_7D_GDPPC_PTvsPSall3[[#This Row],[Portugal/GDP per capita]]-_xlfn.XLOOKUP(_7D_GDPPC_PTvsPSall3[[#This Row],[Year]],_7D_GDPPC_PTvsPSall[Year],_7D_GDPPC_PTvsPSall[Lithuania/GDP per capita],"",0)</f>
        <v>1169.2150000000001</v>
      </c>
    </row>
    <row r="27" spans="1:9" x14ac:dyDescent="0.35">
      <c r="A27">
        <v>2015</v>
      </c>
      <c r="B27" s="1">
        <v>24983.701000000001</v>
      </c>
      <c r="C27" s="1">
        <f>_7D_GDPPC_PTvsPSall3[[#This Row],[Portugal/GDP per capita]]-_xlfn.XLOOKUP(_7D_GDPPC_PTvsPSall3[[#This Row],[Year]],_7D_GDPPC_PTvsPSall[Year],_7D_GDPPC_PTvsPSall[Czechia/GDP per capita],"",0)</f>
        <v>-3453.9029999999984</v>
      </c>
      <c r="D27" s="1">
        <f>_7D_GDPPC_PTvsPSall3[[#This Row],[Portugal/GDP per capita]]-_xlfn.XLOOKUP(_7D_GDPPC_PTvsPSall3[[#This Row],[Year]],_7D_GDPPC_PTvsPSall[Year],_7D_GDPPC_PTvsPSall[Hungary/GDP per capita],"",0)</f>
        <v>1990.3260000000009</v>
      </c>
      <c r="E27" s="1">
        <f>_7D_GDPPC_PTvsPSall3[[#This Row],[Portugal/GDP per capita]]-_xlfn.XLOOKUP(_7D_GDPPC_PTvsPSall3[[#This Row],[Year]],_7D_GDPPC_PTvsPSall[Year],_7D_GDPPC_PTvsPSall[Poland/GDP per capita],"",0)</f>
        <v>698.56100000000151</v>
      </c>
      <c r="F27" s="1">
        <f>_7D_GDPPC_PTvsPSall3[[#This Row],[Portugal/GDP per capita]]-_xlfn.XLOOKUP(_7D_GDPPC_PTvsPSall3[[#This Row],[Year]],_7D_GDPPC_PTvsPSall[Year],_7D_GDPPC_PTvsPSall[Romania/GDP per capita],"",0)</f>
        <v>5821.5149999999994</v>
      </c>
      <c r="G27" s="1">
        <f>_7D_GDPPC_PTvsPSall3[[#This Row],[Portugal/GDP per capita]]-_xlfn.XLOOKUP(_7D_GDPPC_PTvsPSall3[[#This Row],[Year]],_7D_GDPPC_PTvsPSall[Year],_7D_GDPPC_PTvsPSall[Estonia/GDP per capita],"",0)</f>
        <v>510.04100000000108</v>
      </c>
      <c r="H27" s="1">
        <f>_7D_GDPPC_PTvsPSall3[[#This Row],[Portugal/GDP per capita]]-_xlfn.XLOOKUP(_7D_GDPPC_PTvsPSall3[[#This Row],[Year]],_7D_GDPPC_PTvsPSall[Year],_7D_GDPPC_PTvsPSall[Latvia/GDP per capita],"",0)</f>
        <v>2804.2810000000027</v>
      </c>
      <c r="I27" s="1">
        <f>_7D_GDPPC_PTvsPSall3[[#This Row],[Portugal/GDP per capita]]-_xlfn.XLOOKUP(_7D_GDPPC_PTvsPSall3[[#This Row],[Year]],_7D_GDPPC_PTvsPSall[Year],_7D_GDPPC_PTvsPSall[Lithuania/GDP per capita],"",0)</f>
        <v>1014.8529999999992</v>
      </c>
    </row>
    <row r="28" spans="1:9" x14ac:dyDescent="0.35">
      <c r="A28">
        <v>2016</v>
      </c>
      <c r="B28" s="1">
        <v>25568.695</v>
      </c>
      <c r="C28" s="1">
        <f>_7D_GDPPC_PTvsPSall3[[#This Row],[Portugal/GDP per capita]]-_xlfn.XLOOKUP(_7D_GDPPC_PTvsPSall3[[#This Row],[Year]],_7D_GDPPC_PTvsPSall[Year],_7D_GDPPC_PTvsPSall[Czechia/GDP per capita],"",0)</f>
        <v>-3528.8090000000011</v>
      </c>
      <c r="D28" s="1">
        <f>_7D_GDPPC_PTvsPSall3[[#This Row],[Portugal/GDP per capita]]-_xlfn.XLOOKUP(_7D_GDPPC_PTvsPSall3[[#This Row],[Year]],_7D_GDPPC_PTvsPSall[Year],_7D_GDPPC_PTvsPSall[Hungary/GDP per capita],"",0)</f>
        <v>1999.7690000000002</v>
      </c>
      <c r="E28" s="1">
        <f>_7D_GDPPC_PTvsPSall3[[#This Row],[Portugal/GDP per capita]]-_xlfn.XLOOKUP(_7D_GDPPC_PTvsPSall3[[#This Row],[Year]],_7D_GDPPC_PTvsPSall[Year],_7D_GDPPC_PTvsPSall[Poland/GDP per capita],"",0)</f>
        <v>548.07400000000052</v>
      </c>
      <c r="F28" s="1">
        <f>_7D_GDPPC_PTvsPSall3[[#This Row],[Portugal/GDP per capita]]-_xlfn.XLOOKUP(_7D_GDPPC_PTvsPSall3[[#This Row],[Year]],_7D_GDPPC_PTvsPSall[Year],_7D_GDPPC_PTvsPSall[Romania/GDP per capita],"",0)</f>
        <v>5743.0910000000003</v>
      </c>
      <c r="G28" s="1">
        <f>_7D_GDPPC_PTvsPSall3[[#This Row],[Portugal/GDP per capita]]-_xlfn.XLOOKUP(_7D_GDPPC_PTvsPSall3[[#This Row],[Year]],_7D_GDPPC_PTvsPSall[Year],_7D_GDPPC_PTvsPSall[Estonia/GDP per capita],"",0)</f>
        <v>372.54100000000108</v>
      </c>
      <c r="H28" s="1">
        <f>_7D_GDPPC_PTvsPSall3[[#This Row],[Portugal/GDP per capita]]-_xlfn.XLOOKUP(_7D_GDPPC_PTvsPSall3[[#This Row],[Year]],_7D_GDPPC_PTvsPSall[Year],_7D_GDPPC_PTvsPSall[Latvia/GDP per capita],"",0)</f>
        <v>2655.6719999999987</v>
      </c>
      <c r="I28" s="1">
        <f>_7D_GDPPC_PTvsPSall3[[#This Row],[Portugal/GDP per capita]]-_xlfn.XLOOKUP(_7D_GDPPC_PTvsPSall3[[#This Row],[Year]],_7D_GDPPC_PTvsPSall[Year],_7D_GDPPC_PTvsPSall[Lithuania/GDP per capita],"",0)</f>
        <v>681.85499999999956</v>
      </c>
    </row>
    <row r="29" spans="1:9" x14ac:dyDescent="0.35">
      <c r="A29">
        <v>2017</v>
      </c>
      <c r="B29" s="1">
        <v>26529.986000000001</v>
      </c>
      <c r="C29" s="1">
        <f>_7D_GDPPC_PTvsPSall3[[#This Row],[Portugal/GDP per capita]]-_xlfn.XLOOKUP(_7D_GDPPC_PTvsPSall3[[#This Row],[Year]],_7D_GDPPC_PTvsPSall[Year],_7D_GDPPC_PTvsPSall[Czechia/GDP per capita],"",0)</f>
        <v>-4001.3970000000008</v>
      </c>
      <c r="D29" s="1">
        <f>_7D_GDPPC_PTvsPSall3[[#This Row],[Portugal/GDP per capita]]-_xlfn.XLOOKUP(_7D_GDPPC_PTvsPSall3[[#This Row],[Year]],_7D_GDPPC_PTvsPSall[Year],_7D_GDPPC_PTvsPSall[Hungary/GDP per capita],"",0)</f>
        <v>1888.7890000000007</v>
      </c>
      <c r="E29" s="1">
        <f>_7D_GDPPC_PTvsPSall3[[#This Row],[Portugal/GDP per capita]]-_xlfn.XLOOKUP(_7D_GDPPC_PTvsPSall3[[#This Row],[Year]],_7D_GDPPC_PTvsPSall[Year],_7D_GDPPC_PTvsPSall[Poland/GDP per capita],"",0)</f>
        <v>219.87299999999959</v>
      </c>
      <c r="F29" s="1">
        <f>_7D_GDPPC_PTvsPSall3[[#This Row],[Portugal/GDP per capita]]-_xlfn.XLOOKUP(_7D_GDPPC_PTvsPSall3[[#This Row],[Year]],_7D_GDPPC_PTvsPSall[Year],_7D_GDPPC_PTvsPSall[Romania/GDP per capita],"",0)</f>
        <v>3526.2910000000011</v>
      </c>
      <c r="G29" s="1">
        <f>_7D_GDPPC_PTvsPSall3[[#This Row],[Portugal/GDP per capita]]-_xlfn.XLOOKUP(_7D_GDPPC_PTvsPSall3[[#This Row],[Year]],_7D_GDPPC_PTvsPSall[Year],_7D_GDPPC_PTvsPSall[Estonia/GDP per capita],"",0)</f>
        <v>-131.64099999999962</v>
      </c>
      <c r="H29" s="1">
        <f>_7D_GDPPC_PTvsPSall3[[#This Row],[Portugal/GDP per capita]]-_xlfn.XLOOKUP(_7D_GDPPC_PTvsPSall3[[#This Row],[Year]],_7D_GDPPC_PTvsPSall[Year],_7D_GDPPC_PTvsPSall[Latvia/GDP per capita],"",0)</f>
        <v>2636.1540000000023</v>
      </c>
      <c r="I29" s="1">
        <f>_7D_GDPPC_PTvsPSall3[[#This Row],[Portugal/GDP per capita]]-_xlfn.XLOOKUP(_7D_GDPPC_PTvsPSall3[[#This Row],[Year]],_7D_GDPPC_PTvsPSall[Year],_7D_GDPPC_PTvsPSall[Lithuania/GDP per capita],"",0)</f>
        <v>211.96299999999974</v>
      </c>
    </row>
    <row r="30" spans="1:9" x14ac:dyDescent="0.35">
      <c r="A30">
        <v>2018</v>
      </c>
      <c r="B30" s="1">
        <v>27329.69</v>
      </c>
      <c r="C30" s="1">
        <f>_7D_GDPPC_PTvsPSall3[[#This Row],[Portugal/GDP per capita]]-_xlfn.XLOOKUP(_7D_GDPPC_PTvsPSall3[[#This Row],[Year]],_7D_GDPPC_PTvsPSall[Year],_7D_GDPPC_PTvsPSall[Czechia/GDP per capita],"",0)</f>
        <v>-4075.4000000000015</v>
      </c>
      <c r="D30" s="1">
        <f>_7D_GDPPC_PTvsPSall3[[#This Row],[Portugal/GDP per capita]]-_xlfn.XLOOKUP(_7D_GDPPC_PTvsPSall3[[#This Row],[Year]],_7D_GDPPC_PTvsPSall[Year],_7D_GDPPC_PTvsPSall[Hungary/GDP per capita],"",0)</f>
        <v>1334.1800000000003</v>
      </c>
      <c r="E30" s="1">
        <f>_7D_GDPPC_PTvsPSall3[[#This Row],[Portugal/GDP per capita]]-_xlfn.XLOOKUP(_7D_GDPPC_PTvsPSall3[[#This Row],[Year]],_7D_GDPPC_PTvsPSall[Year],_7D_GDPPC_PTvsPSall[Poland/GDP per capita],"",0)</f>
        <v>-551.14600000000064</v>
      </c>
      <c r="F30" s="1">
        <f>_7D_GDPPC_PTvsPSall3[[#This Row],[Portugal/GDP per capita]]-_xlfn.XLOOKUP(_7D_GDPPC_PTvsPSall3[[#This Row],[Year]],_7D_GDPPC_PTvsPSall[Year],_7D_GDPPC_PTvsPSall[Romania/GDP per capita],"",0)</f>
        <v>3329.2349999999969</v>
      </c>
      <c r="G30" s="1">
        <f>_7D_GDPPC_PTvsPSall3[[#This Row],[Portugal/GDP per capita]]-_xlfn.XLOOKUP(_7D_GDPPC_PTvsPSall3[[#This Row],[Year]],_7D_GDPPC_PTvsPSall[Year],_7D_GDPPC_PTvsPSall[Estonia/GDP per capita],"",0)</f>
        <v>-266.72000000000116</v>
      </c>
      <c r="H30" s="1">
        <f>_7D_GDPPC_PTvsPSall3[[#This Row],[Portugal/GDP per capita]]-_xlfn.XLOOKUP(_7D_GDPPC_PTvsPSall3[[#This Row],[Year]],_7D_GDPPC_PTvsPSall[Year],_7D_GDPPC_PTvsPSall[Latvia/GDP per capita],"",0)</f>
        <v>2289.8249999999971</v>
      </c>
      <c r="I30" s="1">
        <f>_7D_GDPPC_PTvsPSall3[[#This Row],[Portugal/GDP per capita]]-_xlfn.XLOOKUP(_7D_GDPPC_PTvsPSall3[[#This Row],[Year]],_7D_GDPPC_PTvsPSall[Year],_7D_GDPPC_PTvsPSall[Lithuania/GDP per capita],"",0)</f>
        <v>-301.77000000000044</v>
      </c>
    </row>
    <row r="31" spans="1:9" x14ac:dyDescent="0.35">
      <c r="A31">
        <v>2019</v>
      </c>
      <c r="B31" s="1">
        <v>28056.057000000001</v>
      </c>
      <c r="C31" s="1">
        <f>_7D_GDPPC_PTvsPSall3[[#This Row],[Portugal/GDP per capita]]-_xlfn.XLOOKUP(_7D_GDPPC_PTvsPSall3[[#This Row],[Year]],_7D_GDPPC_PTvsPSall[Year],_7D_GDPPC_PTvsPSall[Czechia/GDP per capita],"",0)</f>
        <v>-4170.4959999999992</v>
      </c>
      <c r="D31" s="1">
        <f>_7D_GDPPC_PTvsPSall3[[#This Row],[Portugal/GDP per capita]]-_xlfn.XLOOKUP(_7D_GDPPC_PTvsPSall3[[#This Row],[Year]],_7D_GDPPC_PTvsPSall[Year],_7D_GDPPC_PTvsPSall[Hungary/GDP per capita],"",0)</f>
        <v>783.74499999999898</v>
      </c>
      <c r="E31" s="1">
        <f>_7D_GDPPC_PTvsPSall3[[#This Row],[Portugal/GDP per capita]]-_xlfn.XLOOKUP(_7D_GDPPC_PTvsPSall3[[#This Row],[Year]],_7D_GDPPC_PTvsPSall[Year],_7D_GDPPC_PTvsPSall[Poland/GDP per capita],"",0)</f>
        <v>-1085.9660000000003</v>
      </c>
      <c r="F31" s="1">
        <f>_7D_GDPPC_PTvsPSall3[[#This Row],[Portugal/GDP per capita]]-_xlfn.XLOOKUP(_7D_GDPPC_PTvsPSall3[[#This Row],[Year]],_7D_GDPPC_PTvsPSall[Year],_7D_GDPPC_PTvsPSall[Romania/GDP per capita],"",0)</f>
        <v>4788.5410000000011</v>
      </c>
      <c r="G31" s="1">
        <f>_7D_GDPPC_PTvsPSall3[[#This Row],[Portugal/GDP per capita]]-_xlfn.XLOOKUP(_7D_GDPPC_PTvsPSall3[[#This Row],[Year]],_7D_GDPPC_PTvsPSall[Year],_7D_GDPPC_PTvsPSall[Estonia/GDP per capita],"",0)</f>
        <v>-449.54699999999866</v>
      </c>
      <c r="H31" s="1">
        <f>_7D_GDPPC_PTvsPSall3[[#This Row],[Portugal/GDP per capita]]-_xlfn.XLOOKUP(_7D_GDPPC_PTvsPSall3[[#This Row],[Year]],_7D_GDPPC_PTvsPSall[Year],_7D_GDPPC_PTvsPSall[Latvia/GDP per capita],"",0)</f>
        <v>2197.4550000000017</v>
      </c>
      <c r="I31" s="1">
        <f>_7D_GDPPC_PTvsPSall3[[#This Row],[Portugal/GDP per capita]]-_xlfn.XLOOKUP(_7D_GDPPC_PTvsPSall3[[#This Row],[Year]],_7D_GDPPC_PTvsPSall[Year],_7D_GDPPC_PTvsPSall[Lithuania/GDP per capita],"",0)</f>
        <v>-929.99599999999919</v>
      </c>
    </row>
    <row r="32" spans="1:9" x14ac:dyDescent="0.35">
      <c r="A32">
        <v>2020</v>
      </c>
      <c r="B32" s="1">
        <v>25700.282999999999</v>
      </c>
      <c r="C32" s="1">
        <f>_7D_GDPPC_PTvsPSall3[[#This Row],[Portugal/GDP per capita]]-_xlfn.XLOOKUP(_7D_GDPPC_PTvsPSall3[[#This Row],[Year]],_7D_GDPPC_PTvsPSall[Year],_7D_GDPPC_PTvsPSall[Czechia/GDP per capita],"",0)</f>
        <v>-4665.0869999999995</v>
      </c>
      <c r="D32" s="1">
        <f>_7D_GDPPC_PTvsPSall3[[#This Row],[Portugal/GDP per capita]]-_xlfn.XLOOKUP(_7D_GDPPC_PTvsPSall3[[#This Row],[Year]],_7D_GDPPC_PTvsPSall[Year],_7D_GDPPC_PTvsPSall[Hungary/GDP per capita],"",0)</f>
        <v>-391.11700000000201</v>
      </c>
      <c r="E32" s="1">
        <f>_7D_GDPPC_PTvsPSall3[[#This Row],[Portugal/GDP per capita]]-_xlfn.XLOOKUP(_7D_GDPPC_PTvsPSall3[[#This Row],[Year]],_7D_GDPPC_PTvsPSall[Year],_7D_GDPPC_PTvsPSall[Poland/GDP per capita],"",0)</f>
        <v>-2876.857</v>
      </c>
      <c r="F32" s="1">
        <f>_7D_GDPPC_PTvsPSall3[[#This Row],[Portugal/GDP per capita]]-_xlfn.XLOOKUP(_7D_GDPPC_PTvsPSall3[[#This Row],[Year]],_7D_GDPPC_PTvsPSall[Year],_7D_GDPPC_PTvsPSall[Romania/GDP per capita],"",0)</f>
        <v>900.57300000000032</v>
      </c>
      <c r="G32" s="1">
        <f>_7D_GDPPC_PTvsPSall3[[#This Row],[Portugal/GDP per capita]]-_xlfn.XLOOKUP(_7D_GDPPC_PTvsPSall3[[#This Row],[Year]],_7D_GDPPC_PTvsPSall[Year],_7D_GDPPC_PTvsPSall[Estonia/GDP per capita],"",0)</f>
        <v>-2561.2989999999991</v>
      </c>
      <c r="H32" s="1">
        <f>_7D_GDPPC_PTvsPSall3[[#This Row],[Portugal/GDP per capita]]-_xlfn.XLOOKUP(_7D_GDPPC_PTvsPSall3[[#This Row],[Year]],_7D_GDPPC_PTvsPSall[Year],_7D_GDPPC_PTvsPSall[Latvia/GDP per capita],"",0)</f>
        <v>247.21900000000096</v>
      </c>
      <c r="I32" s="1">
        <f>_7D_GDPPC_PTvsPSall3[[#This Row],[Portugal/GDP per capita]]-_xlfn.XLOOKUP(_7D_GDPPC_PTvsPSall3[[#This Row],[Year]],_7D_GDPPC_PTvsPSall[Year],_7D_GDPPC_PTvsPSall[Lithuania/GDP per capita],"",0)</f>
        <v>-3271.5610000000015</v>
      </c>
    </row>
    <row r="33" spans="1:9" x14ac:dyDescent="0.35">
      <c r="A33">
        <v>2021</v>
      </c>
      <c r="B33" s="1">
        <v>27138.478999999999</v>
      </c>
      <c r="C33" s="1">
        <f>_7D_GDPPC_PTvsPSall3[[#This Row],[Portugal/GDP per capita]]-_xlfn.XLOOKUP(_7D_GDPPC_PTvsPSall3[[#This Row],[Year]],_7D_GDPPC_PTvsPSall[Year],_7D_GDPPC_PTvsPSall[Czechia/GDP per capita],"",0)</f>
        <v>-4314.0780000000013</v>
      </c>
      <c r="D33" s="1">
        <f>_7D_GDPPC_PTvsPSall3[[#This Row],[Portugal/GDP per capita]]-_xlfn.XLOOKUP(_7D_GDPPC_PTvsPSall3[[#This Row],[Year]],_7D_GDPPC_PTvsPSall[Year],_7D_GDPPC_PTvsPSall[Hungary/GDP per capita],"",0)</f>
        <v>-947.48400000000038</v>
      </c>
      <c r="E33" s="1">
        <f>_7D_GDPPC_PTvsPSall3[[#This Row],[Portugal/GDP per capita]]-_xlfn.XLOOKUP(_7D_GDPPC_PTvsPSall3[[#This Row],[Year]],_7D_GDPPC_PTvsPSall[Year],_7D_GDPPC_PTvsPSall[Poland/GDP per capita],"",0)</f>
        <v>-3549.1830000000009</v>
      </c>
      <c r="F33" s="1">
        <f>_7D_GDPPC_PTvsPSall3[[#This Row],[Portugal/GDP per capita]]-_xlfn.XLOOKUP(_7D_GDPPC_PTvsPSall3[[#This Row],[Year]],_7D_GDPPC_PTvsPSall[Year],_7D_GDPPC_PTvsPSall[Romania/GDP per capita],"",0)</f>
        <v>1035.8909999999996</v>
      </c>
      <c r="G33" s="1">
        <f>_7D_GDPPC_PTvsPSall3[[#This Row],[Portugal/GDP per capita]]-_xlfn.XLOOKUP(_7D_GDPPC_PTvsPSall3[[#This Row],[Year]],_7D_GDPPC_PTvsPSall[Year],_7D_GDPPC_PTvsPSall[Estonia/GDP per capita],"",0)</f>
        <v>-3360.6769999999997</v>
      </c>
      <c r="H33" s="1">
        <f>_7D_GDPPC_PTvsPSall3[[#This Row],[Portugal/GDP per capita]]-_xlfn.XLOOKUP(_7D_GDPPC_PTvsPSall3[[#This Row],[Year]],_7D_GDPPC_PTvsPSall[Year],_7D_GDPPC_PTvsPSall[Latvia/GDP per capita],"",0)</f>
        <v>399.86399999999776</v>
      </c>
      <c r="I33" s="1">
        <f>_7D_GDPPC_PTvsPSall3[[#This Row],[Portugal/GDP per capita]]-_xlfn.XLOOKUP(_7D_GDPPC_PTvsPSall3[[#This Row],[Year]],_7D_GDPPC_PTvsPSall[Year],_7D_GDPPC_PTvsPSall[Lithuania/GDP per capita],"",0)</f>
        <v>-3418.5509999999995</v>
      </c>
    </row>
    <row r="34" spans="1:9" x14ac:dyDescent="0.35">
      <c r="A34">
        <v>2022</v>
      </c>
      <c r="B34" s="1">
        <v>28992.059000000001</v>
      </c>
      <c r="C34" s="1">
        <f>_7D_GDPPC_PTvsPSall3[[#This Row],[Portugal/GDP per capita]]-_xlfn.XLOOKUP(_7D_GDPPC_PTvsPSall3[[#This Row],[Year]],_7D_GDPPC_PTvsPSall[Year],_7D_GDPPC_PTvsPSall[Czechia/GDP per capita],"",0)</f>
        <v>-3255.3359999999993</v>
      </c>
      <c r="D34" s="1">
        <f>_7D_GDPPC_PTvsPSall3[[#This Row],[Portugal/GDP per capita]]-_xlfn.XLOOKUP(_7D_GDPPC_PTvsPSall3[[#This Row],[Year]],_7D_GDPPC_PTvsPSall[Year],_7D_GDPPC_PTvsPSall[Hungary/GDP per capita],"",0)</f>
        <v>-459.79599999999846</v>
      </c>
      <c r="E34" s="1">
        <f>_7D_GDPPC_PTvsPSall3[[#This Row],[Portugal/GDP per capita]]-_xlfn.XLOOKUP(_7D_GDPPC_PTvsPSall3[[#This Row],[Year]],_7D_GDPPC_PTvsPSall[Year],_7D_GDPPC_PTvsPSall[Poland/GDP per capita],"",0)</f>
        <v>-3476.3429999999971</v>
      </c>
      <c r="F34" s="1">
        <f>_7D_GDPPC_PTvsPSall3[[#This Row],[Portugal/GDP per capita]]-_xlfn.XLOOKUP(_7D_GDPPC_PTvsPSall3[[#This Row],[Year]],_7D_GDPPC_PTvsPSall[Year],_7D_GDPPC_PTvsPSall[Romania/GDP per capita],"",0)</f>
        <v>2794.1550000000025</v>
      </c>
      <c r="G34" s="1">
        <f>_7D_GDPPC_PTvsPSall3[[#This Row],[Portugal/GDP per capita]]-_xlfn.XLOOKUP(_7D_GDPPC_PTvsPSall3[[#This Row],[Year]],_7D_GDPPC_PTvsPSall[Year],_7D_GDPPC_PTvsPSall[Estonia/GDP per capita],"",0)</f>
        <v>-1075.3359999999993</v>
      </c>
      <c r="H34" s="1">
        <f>_7D_GDPPC_PTvsPSall3[[#This Row],[Portugal/GDP per capita]]-_xlfn.XLOOKUP(_7D_GDPPC_PTvsPSall3[[#This Row],[Year]],_7D_GDPPC_PTvsPSall[Year],_7D_GDPPC_PTvsPSall[Latvia/GDP per capita],"",0)</f>
        <v>1771.7560000000012</v>
      </c>
      <c r="I34" s="1">
        <f>_7D_GDPPC_PTvsPSall3[[#This Row],[Portugal/GDP per capita]]-_xlfn.XLOOKUP(_7D_GDPPC_PTvsPSall3[[#This Row],[Year]],_7D_GDPPC_PTvsPSall[Year],_7D_GDPPC_PTvsPSall[Lithuania/GDP per capita],"",0)</f>
        <v>-1871.2609999999986</v>
      </c>
    </row>
  </sheetData>
  <conditionalFormatting sqref="C2:I34">
    <cfRule type="cellIs" dxfId="5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C56844-0D9F-469B-9CB9-FB2597C22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7D_GDPPC_PTvsPS</vt:lpstr>
      <vt:lpstr>7D_GDPPC_PTvsEEall</vt:lpstr>
      <vt:lpstr>Portugal diff 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Pereira de Brito Líbano Monteiro</dc:creator>
  <cp:lastModifiedBy>Rita Pereira de Brito Líbano Monteiro</cp:lastModifiedBy>
  <dcterms:created xsi:type="dcterms:W3CDTF">2026-10-21T10:07:51Z</dcterms:created>
  <dcterms:modified xsi:type="dcterms:W3CDTF">2026-10-21T10:48:12Z</dcterms:modified>
</cp:coreProperties>
</file>
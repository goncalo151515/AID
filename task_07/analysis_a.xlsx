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icopt-my.sharepoint.com/personal/ist1110754_m365_tecnico_pt/Documents/Documentos/.IST/26-27/AID/Projeto/Task7/task_07/"/>
    </mc:Choice>
  </mc:AlternateContent>
  <xr:revisionPtr revIDLastSave="2" documentId="8_{9E0544C0-BD66-4250-A325-201ECAD8A1B1}" xr6:coauthVersionLast="47" xr6:coauthVersionMax="47" xr10:uidLastSave="{BF679C7E-54E4-4C21-9466-192D63106491}"/>
  <bookViews>
    <workbookView xWindow="-110" yWindow="-110" windowWidth="19420" windowHeight="10300" activeTab="1" xr2:uid="{F428B649-DFC8-42A7-B6E1-58C7CC89F5A4}"/>
  </bookViews>
  <sheets>
    <sheet name="7A_GDPPC_year_PT" sheetId="1" r:id="rId1"/>
    <sheet name="7A_GDPPC_decade_PT" sheetId="2" r:id="rId2"/>
  </sheets>
  <externalReferences>
    <externalReference r:id="rId3"/>
  </externalReferences>
  <definedNames>
    <definedName name="ExternalData_1" localSheetId="1" hidden="1">'7A_GDPPC_decade_PT'!$A$1:$B$14</definedName>
    <definedName name="ExternalData_1" localSheetId="0" hidden="1">'7A_GDPPC_year_PT'!$A$1:$B$124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20FBA-248F-4522-9661-43BBCF76F445}" keepAlive="1" name="Query - 7A_GDPPC_decade_PT" description="Connection to the '7A_GDPPC_decade_PT' query in the workbook." type="5" refreshedVersion="8" background="1" saveData="1">
    <dbPr connection="Provider=Microsoft.Mashup.OleDb.1;Data Source=$Workbook$;Location=7A_GDPPC_decade_PT;Extended Properties=&quot;&quot;" command="SELECT * FROM [7A_GDPPC_decade_PT]"/>
  </connection>
  <connection id="2" xr16:uid="{2B4AD89B-AF37-4207-86CB-8647C357F83E}" keepAlive="1" name="Query - 7A_GDPPC_year_PT" description="Connection to the '7A_GDPPC_year_PT' query in the workbook." type="5" refreshedVersion="8" background="1" saveData="1">
    <dbPr connection="Provider=Microsoft.Mashup.OleDb.1;Data Source=$Workbook$;Location=7A_GDPPC_year_PT;Extended Properties=&quot;&quot;" command="SELECT * FROM [7A_GDPPC_year_PT]"/>
  </connection>
</connections>
</file>

<file path=xl/sharedStrings.xml><?xml version="1.0" encoding="utf-8"?>
<sst xmlns="http://schemas.openxmlformats.org/spreadsheetml/2006/main" count="8" uniqueCount="6">
  <si>
    <t>Year</t>
  </si>
  <si>
    <t>Portugal/GDP per capita</t>
  </si>
  <si>
    <t>Growth</t>
  </si>
  <si>
    <t>Decade</t>
  </si>
  <si>
    <t>GDP init</t>
  </si>
  <si>
    <t>Note: 2020 is a partial decade, only up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</si>
</sst>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164" formatCode="0.0%"/>
    </dxf>
    <dxf>
      <numFmt numFmtId="164" formatCode="0.0%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ables_task07.xlsx" TargetMode="External"/><Relationship Id="rId2" Type="http://schemas.openxmlformats.org/officeDocument/2006/relationships/externalLinkPath" Target="https://tecnicopt-my.sharepoint.com/personal/ist1110754_m365_tecnico_pt/Documents/Documentos/.IST/26-27/AID/Projeto/Task7/Tables_task07.xlsx" TargetMode="External"/><Relationship Id="rId1" Type="http://schemas.openxmlformats.org/officeDocument/2006/relationships/externalLinkPath" Target="/personal/ist1110754_m365_tecnico_pt/Documents/Documentos/.IST/26-27/AID/Projeto/Task7/Tables_task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7A_GDPPC_year_PT"/>
      <sheetName val="7A_GDPPC_decade_PT"/>
      <sheetName val="7B_GDPPC_decade_PTvsWE"/>
      <sheetName val="7C_GDPPC_year_PTvsWE"/>
      <sheetName val="7D_GDPPC_PTvsPS"/>
      <sheetName val="Sheet1"/>
      <sheetName val="Tables_task07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CD5E0C-3204-409E-8720-A0E4C7601DA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Year" tableColumnId="1"/>
      <queryTableField id="2" name="Portugal/GDP per capita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48F09A-9D20-496B-B1FA-E587D75BE499}" autoFormatId="16" applyNumberFormats="0" applyBorderFormats="0" applyFontFormats="0" applyPatternFormats="0" applyAlignmentFormats="0" applyWidthHeightFormats="0">
  <queryTableRefresh nextId="6" unboundColumnsRight="2">
    <queryTableFields count="4">
      <queryTableField id="1" name="Decade" tableColumnId="1"/>
      <queryTableField id="2" name="Portugal/GDP per capita" tableColumnId="2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56FED-5B6C-4BDA-BD14-6B31654A0CCD}" name="_7A_GDPPC_year_PT" displayName="_7A_GDPPC_year_PT" ref="A1:C124" tableType="queryTable" totalsRowShown="0">
  <autoFilter ref="A1:C124" xr:uid="{0F956FED-5B6C-4BDA-BD14-6B31654A0CCD}"/>
  <tableColumns count="3">
    <tableColumn id="1" xr3:uid="{8B169635-5F87-4FB5-BA32-2773947476EC}" uniqueName="1" name="Year" queryTableFieldId="1"/>
    <tableColumn id="2" xr3:uid="{EFE93E38-3E69-483B-8AD6-9B662B5C2A93}" uniqueName="2" name="Portugal/GDP per capita" queryTableFieldId="2" dataDxfId="2"/>
    <tableColumn id="3" xr3:uid="{53EC8D4E-A4C1-4C9A-8E0E-6D6063553DD2}" uniqueName="3" name="Growth" queryTableFieldId="3" dataDxfId="1" dataCellStyle="Percent">
      <calculatedColumnFormula>IF(_7A_GDPPC_year_PT[[#This Row],[Year]]=1900,0,((B2-B1)/B1))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B8C1FC-3A9D-4BD4-B048-6BAC893C7946}" name="_7A_GDPPC_decade_PT" displayName="_7A_GDPPC_decade_PT" ref="A1:D14" tableType="queryTable" totalsRowShown="0">
  <autoFilter ref="A1:D14" xr:uid="{4DB8C1FC-3A9D-4BD4-B048-6BAC893C7946}"/>
  <tableColumns count="4">
    <tableColumn id="1" xr3:uid="{98A8D4E9-96C8-469D-AB90-9DD41561CAF7}" uniqueName="1" name="Decade" queryTableFieldId="1"/>
    <tableColumn id="2" xr3:uid="{DADFA3D2-84BA-480D-96AC-BFBBF3536765}" uniqueName="2" name="Portugal/GDP per capita" queryTableFieldId="2" dataDxfId="4"/>
    <tableColumn id="4" xr3:uid="{8B70E343-5A0C-445D-941F-91C13A45CEE3}" uniqueName="4" name="GDP init" queryTableFieldId="4" dataDxfId="3">
      <calculatedColumnFormula>_xlfn.XLOOKUP(_7A_GDPPC_decade_PT[[#This Row],[Decade]],[1]!_7A_GDPPC_year_PT[Year],[1]!_7A_GDPPC_year_PT[Portugal/GDP per capita],"",0)</calculatedColumnFormula>
    </tableColumn>
    <tableColumn id="5" xr3:uid="{4E5943FF-577B-4573-BAA4-8D7E70BF254C}" uniqueName="5" name="Growth" queryTableFieldId="5" dataDxfId="0" dataCellStyle="Percent">
      <calculatedColumnFormula>IF(_7A_GDPPC_decade_PT[[#This Row],[Decade]]=2020,"No data",(C3-_7A_GDPPC_decade_PT[[#This Row],[GDP init]])/_7A_GDPPC_decade_PT[[#This Row],[GDP init]])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A5A7-D052-4A17-A9AE-7399898BC556}">
  <dimension ref="A1:C124"/>
  <sheetViews>
    <sheetView topLeftCell="A114" workbookViewId="0">
      <selection activeCell="F17" sqref="F17"/>
    </sheetView>
  </sheetViews>
  <sheetFormatPr defaultRowHeight="14.5" x14ac:dyDescent="0.35"/>
  <cols>
    <col min="2" max="2" width="23.36328125" bestFit="1" customWidth="1"/>
    <col min="3" max="3" width="9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1900</v>
      </c>
      <c r="B2" s="2">
        <v>2075</v>
      </c>
      <c r="C2" s="1">
        <f>IF(_7A_GDPPC_year_PT[[#This Row],[Year]]=1900,0,((B2-B1)/B1))</f>
        <v>0</v>
      </c>
    </row>
    <row r="3" spans="1:3" x14ac:dyDescent="0.35">
      <c r="A3">
        <v>1901</v>
      </c>
      <c r="B3" s="2">
        <v>2023</v>
      </c>
      <c r="C3" s="1">
        <f>IF(_7A_GDPPC_year_PT[[#This Row],[Year]]=1900,0,((B3-B2)/B2))</f>
        <v>-2.506024096385542E-2</v>
      </c>
    </row>
    <row r="4" spans="1:3" x14ac:dyDescent="0.35">
      <c r="A4">
        <v>1902</v>
      </c>
      <c r="B4" s="2">
        <v>2018</v>
      </c>
      <c r="C4" s="1">
        <f>IF(_7A_GDPPC_year_PT[[#This Row],[Year]]=1900,0,((B4-B3)/B3))</f>
        <v>-2.4715768660405341E-3</v>
      </c>
    </row>
    <row r="5" spans="1:3" x14ac:dyDescent="0.35">
      <c r="A5">
        <v>1903</v>
      </c>
      <c r="B5" s="2">
        <v>2029</v>
      </c>
      <c r="C5" s="1">
        <f>IF(_7A_GDPPC_year_PT[[#This Row],[Year]]=1900,0,((B5-B4)/B4))</f>
        <v>5.4509415262636272E-3</v>
      </c>
    </row>
    <row r="6" spans="1:3" x14ac:dyDescent="0.35">
      <c r="A6">
        <v>1904</v>
      </c>
      <c r="B6" s="2">
        <v>2039</v>
      </c>
      <c r="C6" s="1">
        <f>IF(_7A_GDPPC_year_PT[[#This Row],[Year]]=1900,0,((B6-B5)/B5))</f>
        <v>4.9285362247412515E-3</v>
      </c>
    </row>
    <row r="7" spans="1:3" x14ac:dyDescent="0.35">
      <c r="A7">
        <v>1905</v>
      </c>
      <c r="B7" s="2">
        <v>1965</v>
      </c>
      <c r="C7" s="1">
        <f>IF(_7A_GDPPC_year_PT[[#This Row],[Year]]=1900,0,((B7-B6)/B6))</f>
        <v>-3.6292300147130946E-2</v>
      </c>
    </row>
    <row r="8" spans="1:3" x14ac:dyDescent="0.35">
      <c r="A8">
        <v>1906</v>
      </c>
      <c r="B8" s="2">
        <v>1962</v>
      </c>
      <c r="C8" s="1">
        <f>IF(_7A_GDPPC_year_PT[[#This Row],[Year]]=1900,0,((B8-B7)/B7))</f>
        <v>-1.5267175572519084E-3</v>
      </c>
    </row>
    <row r="9" spans="1:3" x14ac:dyDescent="0.35">
      <c r="A9">
        <v>1907</v>
      </c>
      <c r="B9" s="2">
        <v>1991</v>
      </c>
      <c r="C9" s="1">
        <f>IF(_7A_GDPPC_year_PT[[#This Row],[Year]]=1900,0,((B9-B8)/B8))</f>
        <v>1.4780835881753314E-2</v>
      </c>
    </row>
    <row r="10" spans="1:3" x14ac:dyDescent="0.35">
      <c r="A10">
        <v>1908</v>
      </c>
      <c r="B10" s="2">
        <v>1943</v>
      </c>
      <c r="C10" s="1">
        <f>IF(_7A_GDPPC_year_PT[[#This Row],[Year]]=1900,0,((B10-B9)/B9))</f>
        <v>-2.4108488196885988E-2</v>
      </c>
    </row>
    <row r="11" spans="1:3" x14ac:dyDescent="0.35">
      <c r="A11">
        <v>1909</v>
      </c>
      <c r="B11" s="2">
        <v>1926</v>
      </c>
      <c r="C11" s="1">
        <f>IF(_7A_GDPPC_year_PT[[#This Row],[Year]]=1900,0,((B11-B10)/B10))</f>
        <v>-8.7493566649511061E-3</v>
      </c>
    </row>
    <row r="12" spans="1:3" x14ac:dyDescent="0.35">
      <c r="A12">
        <v>1910</v>
      </c>
      <c r="B12" s="2">
        <v>1957</v>
      </c>
      <c r="C12" s="1">
        <f>IF(_7A_GDPPC_year_PT[[#This Row],[Year]]=1900,0,((B12-B11)/B11))</f>
        <v>1.6095534787123573E-2</v>
      </c>
    </row>
    <row r="13" spans="1:3" x14ac:dyDescent="0.35">
      <c r="A13">
        <v>1911</v>
      </c>
      <c r="B13" s="2">
        <v>1980</v>
      </c>
      <c r="C13" s="1">
        <f>IF(_7A_GDPPC_year_PT[[#This Row],[Year]]=1900,0,((B13-B12)/B12))</f>
        <v>1.1752682677567705E-2</v>
      </c>
    </row>
    <row r="14" spans="1:3" x14ac:dyDescent="0.35">
      <c r="A14">
        <v>1912</v>
      </c>
      <c r="B14" s="2">
        <v>2004</v>
      </c>
      <c r="C14" s="1">
        <f>IF(_7A_GDPPC_year_PT[[#This Row],[Year]]=1900,0,((B14-B13)/B13))</f>
        <v>1.2121212121212121E-2</v>
      </c>
    </row>
    <row r="15" spans="1:3" x14ac:dyDescent="0.35">
      <c r="A15">
        <v>1913</v>
      </c>
      <c r="B15" s="2">
        <v>1992</v>
      </c>
      <c r="C15" s="1">
        <f>IF(_7A_GDPPC_year_PT[[#This Row],[Year]]=1900,0,((B15-B14)/B14))</f>
        <v>-5.9880239520958087E-3</v>
      </c>
    </row>
    <row r="16" spans="1:3" x14ac:dyDescent="0.35">
      <c r="A16">
        <v>1914</v>
      </c>
      <c r="B16" s="2">
        <v>2005</v>
      </c>
      <c r="C16" s="1">
        <f>IF(_7A_GDPPC_year_PT[[#This Row],[Year]]=1900,0,((B16-B15)/B15))</f>
        <v>6.5261044176706823E-3</v>
      </c>
    </row>
    <row r="17" spans="1:3" x14ac:dyDescent="0.35">
      <c r="A17">
        <v>1915</v>
      </c>
      <c r="B17" s="2">
        <v>1957</v>
      </c>
      <c r="C17" s="1">
        <f>IF(_7A_GDPPC_year_PT[[#This Row],[Year]]=1900,0,((B17-B16)/B16))</f>
        <v>-2.3940149625935162E-2</v>
      </c>
    </row>
    <row r="18" spans="1:3" x14ac:dyDescent="0.35">
      <c r="A18">
        <v>1916</v>
      </c>
      <c r="B18" s="2">
        <v>1967</v>
      </c>
      <c r="C18" s="1">
        <f>IF(_7A_GDPPC_year_PT[[#This Row],[Year]]=1900,0,((B18-B17)/B17))</f>
        <v>5.1098620337250893E-3</v>
      </c>
    </row>
    <row r="19" spans="1:3" x14ac:dyDescent="0.35">
      <c r="A19">
        <v>1917</v>
      </c>
      <c r="B19" s="2">
        <v>1932</v>
      </c>
      <c r="C19" s="1">
        <f>IF(_7A_GDPPC_year_PT[[#This Row],[Year]]=1900,0,((B19-B18)/B18))</f>
        <v>-1.7793594306049824E-2</v>
      </c>
    </row>
    <row r="20" spans="1:3" x14ac:dyDescent="0.35">
      <c r="A20">
        <v>1918</v>
      </c>
      <c r="B20" s="2">
        <v>1833</v>
      </c>
      <c r="C20" s="1">
        <f>IF(_7A_GDPPC_year_PT[[#This Row],[Year]]=1900,0,((B20-B19)/B19))</f>
        <v>-5.124223602484472E-2</v>
      </c>
    </row>
    <row r="21" spans="1:3" x14ac:dyDescent="0.35">
      <c r="A21">
        <v>1919</v>
      </c>
      <c r="B21" s="2">
        <v>1870</v>
      </c>
      <c r="C21" s="1">
        <f>IF(_7A_GDPPC_year_PT[[#This Row],[Year]]=1900,0,((B21-B20)/B20))</f>
        <v>2.0185488270594652E-2</v>
      </c>
    </row>
    <row r="22" spans="1:3" x14ac:dyDescent="0.35">
      <c r="A22">
        <v>1920</v>
      </c>
      <c r="B22" s="2">
        <v>1959</v>
      </c>
      <c r="C22" s="1">
        <f>IF(_7A_GDPPC_year_PT[[#This Row],[Year]]=1900,0,((B22-B21)/B21))</f>
        <v>4.7593582887700533E-2</v>
      </c>
    </row>
    <row r="23" spans="1:3" x14ac:dyDescent="0.35">
      <c r="A23">
        <v>1921</v>
      </c>
      <c r="B23" s="2">
        <v>2056</v>
      </c>
      <c r="C23" s="1">
        <f>IF(_7A_GDPPC_year_PT[[#This Row],[Year]]=1900,0,((B23-B22)/B22))</f>
        <v>4.9515058703420115E-2</v>
      </c>
    </row>
    <row r="24" spans="1:3" x14ac:dyDescent="0.35">
      <c r="A24">
        <v>1922</v>
      </c>
      <c r="B24" s="2">
        <v>2279</v>
      </c>
      <c r="C24" s="1">
        <f>IF(_7A_GDPPC_year_PT[[#This Row],[Year]]=1900,0,((B24-B23)/B23))</f>
        <v>0.10846303501945526</v>
      </c>
    </row>
    <row r="25" spans="1:3" x14ac:dyDescent="0.35">
      <c r="A25">
        <v>1923</v>
      </c>
      <c r="B25" s="2">
        <v>2348</v>
      </c>
      <c r="C25" s="1">
        <f>IF(_7A_GDPPC_year_PT[[#This Row],[Year]]=1900,0,((B25-B24)/B24))</f>
        <v>3.0276437033786747E-2</v>
      </c>
    </row>
    <row r="26" spans="1:3" x14ac:dyDescent="0.35">
      <c r="A26">
        <v>1924</v>
      </c>
      <c r="B26" s="2">
        <v>2233</v>
      </c>
      <c r="C26" s="1">
        <f>IF(_7A_GDPPC_year_PT[[#This Row],[Year]]=1900,0,((B26-B25)/B25))</f>
        <v>-4.8977853492333905E-2</v>
      </c>
    </row>
    <row r="27" spans="1:3" x14ac:dyDescent="0.35">
      <c r="A27">
        <v>1925</v>
      </c>
      <c r="B27" s="2">
        <v>2305</v>
      </c>
      <c r="C27" s="1">
        <f>IF(_7A_GDPPC_year_PT[[#This Row],[Year]]=1900,0,((B27-B26)/B26))</f>
        <v>3.2243618450515002E-2</v>
      </c>
    </row>
    <row r="28" spans="1:3" x14ac:dyDescent="0.35">
      <c r="A28">
        <v>1926</v>
      </c>
      <c r="B28" s="2">
        <v>2262</v>
      </c>
      <c r="C28" s="1">
        <f>IF(_7A_GDPPC_year_PT[[#This Row],[Year]]=1900,0,((B28-B27)/B27))</f>
        <v>-1.8655097613882864E-2</v>
      </c>
    </row>
    <row r="29" spans="1:3" x14ac:dyDescent="0.35">
      <c r="A29">
        <v>1927</v>
      </c>
      <c r="B29" s="2">
        <v>2627</v>
      </c>
      <c r="C29" s="1">
        <f>IF(_7A_GDPPC_year_PT[[#This Row],[Year]]=1900,0,((B29-B28)/B28))</f>
        <v>0.16136162687886826</v>
      </c>
    </row>
    <row r="30" spans="1:3" x14ac:dyDescent="0.35">
      <c r="A30">
        <v>1928</v>
      </c>
      <c r="B30" s="2">
        <v>2343</v>
      </c>
      <c r="C30" s="1">
        <f>IF(_7A_GDPPC_year_PT[[#This Row],[Year]]=1900,0,((B30-B29)/B29))</f>
        <v>-0.10810810810810811</v>
      </c>
    </row>
    <row r="31" spans="1:3" x14ac:dyDescent="0.35">
      <c r="A31">
        <v>1929</v>
      </c>
      <c r="B31" s="2">
        <v>2566</v>
      </c>
      <c r="C31" s="1">
        <f>IF(_7A_GDPPC_year_PT[[#This Row],[Year]]=1900,0,((B31-B30)/B30))</f>
        <v>9.5177123346137427E-2</v>
      </c>
    </row>
    <row r="32" spans="1:3" x14ac:dyDescent="0.35">
      <c r="A32">
        <v>1930</v>
      </c>
      <c r="B32" s="2">
        <v>2504</v>
      </c>
      <c r="C32" s="1">
        <f>IF(_7A_GDPPC_year_PT[[#This Row],[Year]]=1900,0,((B32-B31)/B31))</f>
        <v>-2.4162120031176928E-2</v>
      </c>
    </row>
    <row r="33" spans="1:3" x14ac:dyDescent="0.35">
      <c r="A33">
        <v>1931</v>
      </c>
      <c r="B33" s="2">
        <v>2600</v>
      </c>
      <c r="C33" s="1">
        <f>IF(_7A_GDPPC_year_PT[[#This Row],[Year]]=1900,0,((B33-B32)/B32))</f>
        <v>3.8338658146964855E-2</v>
      </c>
    </row>
    <row r="34" spans="1:3" x14ac:dyDescent="0.35">
      <c r="A34">
        <v>1932</v>
      </c>
      <c r="B34" s="2">
        <v>2619</v>
      </c>
      <c r="C34" s="1">
        <f>IF(_7A_GDPPC_year_PT[[#This Row],[Year]]=1900,0,((B34-B33)/B33))</f>
        <v>7.3076923076923076E-3</v>
      </c>
    </row>
    <row r="35" spans="1:3" x14ac:dyDescent="0.35">
      <c r="A35">
        <v>1933</v>
      </c>
      <c r="B35" s="2">
        <v>2761</v>
      </c>
      <c r="C35" s="1">
        <f>IF(_7A_GDPPC_year_PT[[#This Row],[Year]]=1900,0,((B35-B34)/B34))</f>
        <v>5.4219167621229476E-2</v>
      </c>
    </row>
    <row r="36" spans="1:3" x14ac:dyDescent="0.35">
      <c r="A36">
        <v>1934</v>
      </c>
      <c r="B36" s="2">
        <v>2844</v>
      </c>
      <c r="C36" s="1">
        <f>IF(_7A_GDPPC_year_PT[[#This Row],[Year]]=1900,0,((B36-B35)/B35))</f>
        <v>3.0061571894241218E-2</v>
      </c>
    </row>
    <row r="37" spans="1:3" x14ac:dyDescent="0.35">
      <c r="A37">
        <v>1935</v>
      </c>
      <c r="B37" s="2">
        <v>2660</v>
      </c>
      <c r="C37" s="1">
        <f>IF(_7A_GDPPC_year_PT[[#This Row],[Year]]=1900,0,((B37-B36)/B36))</f>
        <v>-6.4697609001406475E-2</v>
      </c>
    </row>
    <row r="38" spans="1:3" x14ac:dyDescent="0.35">
      <c r="A38">
        <v>1936</v>
      </c>
      <c r="B38" s="2">
        <v>2428</v>
      </c>
      <c r="C38" s="1">
        <f>IF(_7A_GDPPC_year_PT[[#This Row],[Year]]=1900,0,((B38-B37)/B37))</f>
        <v>-8.7218045112781958E-2</v>
      </c>
    </row>
    <row r="39" spans="1:3" x14ac:dyDescent="0.35">
      <c r="A39">
        <v>1937</v>
      </c>
      <c r="B39" s="2">
        <v>2801</v>
      </c>
      <c r="C39" s="1">
        <f>IF(_7A_GDPPC_year_PT[[#This Row],[Year]]=1900,0,((B39-B38)/B38))</f>
        <v>0.15362438220757826</v>
      </c>
    </row>
    <row r="40" spans="1:3" x14ac:dyDescent="0.35">
      <c r="A40">
        <v>1938</v>
      </c>
      <c r="B40" s="2">
        <v>2785</v>
      </c>
      <c r="C40" s="1">
        <f>IF(_7A_GDPPC_year_PT[[#This Row],[Year]]=1900,0,((B40-B39)/B39))</f>
        <v>-5.7122456265619424E-3</v>
      </c>
    </row>
    <row r="41" spans="1:3" x14ac:dyDescent="0.35">
      <c r="A41">
        <v>1939</v>
      </c>
      <c r="B41" s="2">
        <v>2788</v>
      </c>
      <c r="C41" s="1">
        <f>IF(_7A_GDPPC_year_PT[[#This Row],[Year]]=1900,0,((B41-B40)/B40))</f>
        <v>1.0771992818671453E-3</v>
      </c>
    </row>
    <row r="42" spans="1:3" x14ac:dyDescent="0.35">
      <c r="A42">
        <v>1940</v>
      </c>
      <c r="B42" s="2">
        <v>2574</v>
      </c>
      <c r="C42" s="1">
        <f>IF(_7A_GDPPC_year_PT[[#This Row],[Year]]=1900,0,((B42-B41)/B41))</f>
        <v>-7.675753228120516E-2</v>
      </c>
    </row>
    <row r="43" spans="1:3" x14ac:dyDescent="0.35">
      <c r="A43">
        <v>1941</v>
      </c>
      <c r="B43" s="2">
        <v>2785</v>
      </c>
      <c r="C43" s="1">
        <f>IF(_7A_GDPPC_year_PT[[#This Row],[Year]]=1900,0,((B43-B42)/B42))</f>
        <v>8.1973581973581969E-2</v>
      </c>
    </row>
    <row r="44" spans="1:3" x14ac:dyDescent="0.35">
      <c r="A44">
        <v>1942</v>
      </c>
      <c r="B44" s="2">
        <v>2723</v>
      </c>
      <c r="C44" s="1">
        <f>IF(_7A_GDPPC_year_PT[[#This Row],[Year]]=1900,0,((B44-B43)/B43))</f>
        <v>-2.2262118491921005E-2</v>
      </c>
    </row>
    <row r="45" spans="1:3" x14ac:dyDescent="0.35">
      <c r="A45">
        <v>1943</v>
      </c>
      <c r="B45" s="2">
        <v>2879</v>
      </c>
      <c r="C45" s="1">
        <f>IF(_7A_GDPPC_year_PT[[#This Row],[Year]]=1900,0,((B45-B44)/B44))</f>
        <v>5.7289753947851636E-2</v>
      </c>
    </row>
    <row r="46" spans="1:3" x14ac:dyDescent="0.35">
      <c r="A46">
        <v>1944</v>
      </c>
      <c r="B46" s="2">
        <v>3017</v>
      </c>
      <c r="C46" s="1">
        <f>IF(_7A_GDPPC_year_PT[[#This Row],[Year]]=1900,0,((B46-B45)/B45))</f>
        <v>4.793331017714484E-2</v>
      </c>
    </row>
    <row r="47" spans="1:3" x14ac:dyDescent="0.35">
      <c r="A47">
        <v>1945</v>
      </c>
      <c r="B47" s="2">
        <v>2876</v>
      </c>
      <c r="C47" s="1">
        <f>IF(_7A_GDPPC_year_PT[[#This Row],[Year]]=1900,0,((B47-B46)/B46))</f>
        <v>-4.6735167384819358E-2</v>
      </c>
    </row>
    <row r="48" spans="1:3" x14ac:dyDescent="0.35">
      <c r="A48">
        <v>1946</v>
      </c>
      <c r="B48" s="2">
        <v>3073</v>
      </c>
      <c r="C48" s="1">
        <f>IF(_7A_GDPPC_year_PT[[#This Row],[Year]]=1900,0,((B48-B47)/B47))</f>
        <v>6.8497913769123786E-2</v>
      </c>
    </row>
    <row r="49" spans="1:3" x14ac:dyDescent="0.35">
      <c r="A49">
        <v>1947</v>
      </c>
      <c r="B49" s="2">
        <v>3301</v>
      </c>
      <c r="C49" s="1">
        <f>IF(_7A_GDPPC_year_PT[[#This Row],[Year]]=1900,0,((B49-B48)/B48))</f>
        <v>7.419459811259356E-2</v>
      </c>
    </row>
    <row r="50" spans="1:3" x14ac:dyDescent="0.35">
      <c r="A50">
        <v>1948</v>
      </c>
      <c r="B50" s="2">
        <v>3261</v>
      </c>
      <c r="C50" s="1">
        <f>IF(_7A_GDPPC_year_PT[[#This Row],[Year]]=1900,0,((B50-B49)/B49))</f>
        <v>-1.2117540139351712E-2</v>
      </c>
    </row>
    <row r="51" spans="1:3" x14ac:dyDescent="0.35">
      <c r="A51">
        <v>1949</v>
      </c>
      <c r="B51" s="2">
        <v>3279</v>
      </c>
      <c r="C51" s="1">
        <f>IF(_7A_GDPPC_year_PT[[#This Row],[Year]]=1900,0,((B51-B50)/B50))</f>
        <v>5.5197792088316471E-3</v>
      </c>
    </row>
    <row r="52" spans="1:3" x14ac:dyDescent="0.35">
      <c r="A52">
        <v>1950</v>
      </c>
      <c r="B52" s="2">
        <v>3325</v>
      </c>
      <c r="C52" s="1">
        <f>IF(_7A_GDPPC_year_PT[[#This Row],[Year]]=1900,0,((B52-B51)/B51))</f>
        <v>1.4028667276608722E-2</v>
      </c>
    </row>
    <row r="53" spans="1:3" x14ac:dyDescent="0.35">
      <c r="A53">
        <v>1951</v>
      </c>
      <c r="B53" s="2">
        <v>3456</v>
      </c>
      <c r="C53" s="1">
        <f>IF(_7A_GDPPC_year_PT[[#This Row],[Year]]=1900,0,((B53-B52)/B52))</f>
        <v>3.9398496240601502E-2</v>
      </c>
    </row>
    <row r="54" spans="1:3" x14ac:dyDescent="0.35">
      <c r="A54">
        <v>1952</v>
      </c>
      <c r="B54" s="2">
        <v>3445</v>
      </c>
      <c r="C54" s="1">
        <f>IF(_7A_GDPPC_year_PT[[#This Row],[Year]]=1900,0,((B54-B53)/B53))</f>
        <v>-3.1828703703703702E-3</v>
      </c>
    </row>
    <row r="55" spans="1:3" x14ac:dyDescent="0.35">
      <c r="A55">
        <v>1953</v>
      </c>
      <c r="B55" s="2">
        <v>3663</v>
      </c>
      <c r="C55" s="1">
        <f>IF(_7A_GDPPC_year_PT[[#This Row],[Year]]=1900,0,((B55-B54)/B54))</f>
        <v>6.328011611030479E-2</v>
      </c>
    </row>
    <row r="56" spans="1:3" x14ac:dyDescent="0.35">
      <c r="A56">
        <v>1954</v>
      </c>
      <c r="B56" s="2">
        <v>3814</v>
      </c>
      <c r="C56" s="1">
        <f>IF(_7A_GDPPC_year_PT[[#This Row],[Year]]=1900,0,((B56-B55)/B55))</f>
        <v>4.1223041223041226E-2</v>
      </c>
    </row>
    <row r="57" spans="1:3" x14ac:dyDescent="0.35">
      <c r="A57">
        <v>1955</v>
      </c>
      <c r="B57" s="2">
        <v>3945</v>
      </c>
      <c r="C57" s="1">
        <f>IF(_7A_GDPPC_year_PT[[#This Row],[Year]]=1900,0,((B57-B56)/B56))</f>
        <v>3.4347142108023074E-2</v>
      </c>
    </row>
    <row r="58" spans="1:3" x14ac:dyDescent="0.35">
      <c r="A58">
        <v>1956</v>
      </c>
      <c r="B58" s="2">
        <v>4087</v>
      </c>
      <c r="C58" s="1">
        <f>IF(_7A_GDPPC_year_PT[[#This Row],[Year]]=1900,0,((B58-B57)/B57))</f>
        <v>3.5994930291508236E-2</v>
      </c>
    </row>
    <row r="59" spans="1:3" x14ac:dyDescent="0.35">
      <c r="A59">
        <v>1957</v>
      </c>
      <c r="B59" s="2">
        <v>4238</v>
      </c>
      <c r="C59" s="1">
        <f>IF(_7A_GDPPC_year_PT[[#This Row],[Year]]=1900,0,((B59-B58)/B58))</f>
        <v>3.6946415463665283E-2</v>
      </c>
    </row>
    <row r="60" spans="1:3" x14ac:dyDescent="0.35">
      <c r="A60">
        <v>1958</v>
      </c>
      <c r="B60" s="2">
        <v>4259</v>
      </c>
      <c r="C60" s="1">
        <f>IF(_7A_GDPPC_year_PT[[#This Row],[Year]]=1900,0,((B60-B59)/B59))</f>
        <v>4.9551675318546488E-3</v>
      </c>
    </row>
    <row r="61" spans="1:3" x14ac:dyDescent="0.35">
      <c r="A61">
        <v>1959</v>
      </c>
      <c r="B61" s="2">
        <v>4454</v>
      </c>
      <c r="C61" s="1">
        <f>IF(_7A_GDPPC_year_PT[[#This Row],[Year]]=1900,0,((B61-B60)/B60))</f>
        <v>4.5785395632777649E-2</v>
      </c>
    </row>
    <row r="62" spans="1:3" x14ac:dyDescent="0.35">
      <c r="A62">
        <v>1960</v>
      </c>
      <c r="B62" s="2">
        <v>4712</v>
      </c>
      <c r="C62" s="1">
        <f>IF(_7A_GDPPC_year_PT[[#This Row],[Year]]=1900,0,((B62-B61)/B61))</f>
        <v>5.7925460260440056E-2</v>
      </c>
    </row>
    <row r="63" spans="1:3" x14ac:dyDescent="0.35">
      <c r="A63">
        <v>1961</v>
      </c>
      <c r="B63" s="2">
        <v>4972</v>
      </c>
      <c r="C63" s="1">
        <f>IF(_7A_GDPPC_year_PT[[#This Row],[Year]]=1900,0,((B63-B62)/B62))</f>
        <v>5.5178268251273345E-2</v>
      </c>
    </row>
    <row r="64" spans="1:3" x14ac:dyDescent="0.35">
      <c r="A64">
        <v>1962</v>
      </c>
      <c r="B64" s="2">
        <v>5308</v>
      </c>
      <c r="C64" s="1">
        <f>IF(_7A_GDPPC_year_PT[[#This Row],[Year]]=1900,0,((B64-B63)/B63))</f>
        <v>6.7578439259855183E-2</v>
      </c>
    </row>
    <row r="65" spans="1:3" x14ac:dyDescent="0.35">
      <c r="A65">
        <v>1963</v>
      </c>
      <c r="B65" s="2">
        <v>5585</v>
      </c>
      <c r="C65" s="1">
        <f>IF(_7A_GDPPC_year_PT[[#This Row],[Year]]=1900,0,((B65-B64)/B64))</f>
        <v>5.2185380557648833E-2</v>
      </c>
    </row>
    <row r="66" spans="1:3" x14ac:dyDescent="0.35">
      <c r="A66">
        <v>1964</v>
      </c>
      <c r="B66" s="2">
        <v>5926</v>
      </c>
      <c r="C66" s="1">
        <f>IF(_7A_GDPPC_year_PT[[#This Row],[Year]]=1900,0,((B66-B65)/B65))</f>
        <v>6.1056401074306176E-2</v>
      </c>
    </row>
    <row r="67" spans="1:3" x14ac:dyDescent="0.35">
      <c r="A67">
        <v>1965</v>
      </c>
      <c r="B67" s="2">
        <v>6363</v>
      </c>
      <c r="C67" s="1">
        <f>IF(_7A_GDPPC_year_PT[[#This Row],[Year]]=1900,0,((B67-B66)/B66))</f>
        <v>7.374282821464731E-2</v>
      </c>
    </row>
    <row r="68" spans="1:3" x14ac:dyDescent="0.35">
      <c r="A68">
        <v>1966</v>
      </c>
      <c r="B68" s="2">
        <v>6637</v>
      </c>
      <c r="C68" s="1">
        <f>IF(_7A_GDPPC_year_PT[[#This Row],[Year]]=1900,0,((B68-B67)/B67))</f>
        <v>4.3061449002043062E-2</v>
      </c>
    </row>
    <row r="69" spans="1:3" x14ac:dyDescent="0.35">
      <c r="A69">
        <v>1967</v>
      </c>
      <c r="B69" s="2">
        <v>7143</v>
      </c>
      <c r="C69" s="1">
        <f>IF(_7A_GDPPC_year_PT[[#This Row],[Year]]=1900,0,((B69-B68)/B68))</f>
        <v>7.6239264728039782E-2</v>
      </c>
    </row>
    <row r="70" spans="1:3" x14ac:dyDescent="0.35">
      <c r="A70">
        <v>1968</v>
      </c>
      <c r="B70" s="2">
        <v>7767</v>
      </c>
      <c r="C70" s="1">
        <f>IF(_7A_GDPPC_year_PT[[#This Row],[Year]]=1900,0,((B70-B69)/B69))</f>
        <v>8.7358252834943306E-2</v>
      </c>
    </row>
    <row r="71" spans="1:3" x14ac:dyDescent="0.35">
      <c r="A71">
        <v>1969</v>
      </c>
      <c r="B71" s="2">
        <v>7949</v>
      </c>
      <c r="C71" s="1">
        <f>IF(_7A_GDPPC_year_PT[[#This Row],[Year]]=1900,0,((B71-B70)/B70))</f>
        <v>2.3432470709411613E-2</v>
      </c>
    </row>
    <row r="72" spans="1:3" x14ac:dyDescent="0.35">
      <c r="A72">
        <v>1970</v>
      </c>
      <c r="B72" s="2">
        <v>8724</v>
      </c>
      <c r="C72" s="1">
        <f>IF(_7A_GDPPC_year_PT[[#This Row],[Year]]=1900,0,((B72-B71)/B71))</f>
        <v>9.7496540445339036E-2</v>
      </c>
    </row>
    <row r="73" spans="1:3" x14ac:dyDescent="0.35">
      <c r="A73">
        <v>1971</v>
      </c>
      <c r="B73" s="2">
        <v>9358</v>
      </c>
      <c r="C73" s="1">
        <f>IF(_7A_GDPPC_year_PT[[#This Row],[Year]]=1900,0,((B73-B72)/B72))</f>
        <v>7.2673085740486018E-2</v>
      </c>
    </row>
    <row r="74" spans="1:3" x14ac:dyDescent="0.35">
      <c r="A74">
        <v>1972</v>
      </c>
      <c r="B74" s="2">
        <v>10130</v>
      </c>
      <c r="C74" s="1">
        <f>IF(_7A_GDPPC_year_PT[[#This Row],[Year]]=1900,0,((B74-B73)/B73))</f>
        <v>8.2496259884590722E-2</v>
      </c>
    </row>
    <row r="75" spans="1:3" x14ac:dyDescent="0.35">
      <c r="A75">
        <v>1973</v>
      </c>
      <c r="B75" s="2">
        <v>11258</v>
      </c>
      <c r="C75" s="1">
        <f>IF(_7A_GDPPC_year_PT[[#This Row],[Year]]=1900,0,((B75-B74)/B74))</f>
        <v>0.11135241855873643</v>
      </c>
    </row>
    <row r="76" spans="1:3" x14ac:dyDescent="0.35">
      <c r="A76">
        <v>1974</v>
      </c>
      <c r="B76" s="2">
        <v>11234</v>
      </c>
      <c r="C76" s="1">
        <f>IF(_7A_GDPPC_year_PT[[#This Row],[Year]]=1900,0,((B76-B75)/B75))</f>
        <v>-2.1318173743116006E-3</v>
      </c>
    </row>
    <row r="77" spans="1:3" x14ac:dyDescent="0.35">
      <c r="A77">
        <v>1975</v>
      </c>
      <c r="B77" s="2">
        <v>10388</v>
      </c>
      <c r="C77" s="1">
        <f>IF(_7A_GDPPC_year_PT[[#This Row],[Year]]=1900,0,((B77-B76)/B76))</f>
        <v>-7.5307103435997863E-2</v>
      </c>
    </row>
    <row r="78" spans="1:3" x14ac:dyDescent="0.35">
      <c r="A78">
        <v>1976</v>
      </c>
      <c r="B78" s="2">
        <v>10861</v>
      </c>
      <c r="C78" s="1">
        <f>IF(_7A_GDPPC_year_PT[[#This Row],[Year]]=1900,0,((B78-B77)/B77))</f>
        <v>4.5533307662687719E-2</v>
      </c>
    </row>
    <row r="79" spans="1:3" x14ac:dyDescent="0.35">
      <c r="A79">
        <v>1977</v>
      </c>
      <c r="B79" s="2">
        <v>11422</v>
      </c>
      <c r="C79" s="1">
        <f>IF(_7A_GDPPC_year_PT[[#This Row],[Year]]=1900,0,((B79-B78)/B78))</f>
        <v>5.1652702329435599E-2</v>
      </c>
    </row>
    <row r="80" spans="1:3" x14ac:dyDescent="0.35">
      <c r="A80">
        <v>1978</v>
      </c>
      <c r="B80" s="2">
        <v>11700</v>
      </c>
      <c r="C80" s="1">
        <f>IF(_7A_GDPPC_year_PT[[#This Row],[Year]]=1900,0,((B80-B79)/B79))</f>
        <v>2.4338994922080196E-2</v>
      </c>
    </row>
    <row r="81" spans="1:3" x14ac:dyDescent="0.35">
      <c r="A81">
        <v>1979</v>
      </c>
      <c r="B81" s="2">
        <v>12326</v>
      </c>
      <c r="C81" s="1">
        <f>IF(_7A_GDPPC_year_PT[[#This Row],[Year]]=1900,0,((B81-B80)/B80))</f>
        <v>5.3504273504273503E-2</v>
      </c>
    </row>
    <row r="82" spans="1:3" x14ac:dyDescent="0.35">
      <c r="A82">
        <v>1980</v>
      </c>
      <c r="B82" s="2">
        <v>12822</v>
      </c>
      <c r="C82" s="1">
        <f>IF(_7A_GDPPC_year_PT[[#This Row],[Year]]=1900,0,((B82-B81)/B81))</f>
        <v>4.024014278760344E-2</v>
      </c>
    </row>
    <row r="83" spans="1:3" x14ac:dyDescent="0.35">
      <c r="A83">
        <v>1981</v>
      </c>
      <c r="B83" s="2">
        <v>12934</v>
      </c>
      <c r="C83" s="1">
        <f>IF(_7A_GDPPC_year_PT[[#This Row],[Year]]=1900,0,((B83-B82)/B82))</f>
        <v>8.7349867415379822E-3</v>
      </c>
    </row>
    <row r="84" spans="1:3" x14ac:dyDescent="0.35">
      <c r="A84">
        <v>1982</v>
      </c>
      <c r="B84" s="2">
        <v>13198</v>
      </c>
      <c r="C84" s="1">
        <f>IF(_7A_GDPPC_year_PT[[#This Row],[Year]]=1900,0,((B84-B83)/B83))</f>
        <v>2.0411319004175043E-2</v>
      </c>
    </row>
    <row r="85" spans="1:3" x14ac:dyDescent="0.35">
      <c r="A85">
        <v>1983</v>
      </c>
      <c r="B85" s="2">
        <v>13158</v>
      </c>
      <c r="C85" s="1">
        <f>IF(_7A_GDPPC_year_PT[[#This Row],[Year]]=1900,0,((B85-B84)/B84))</f>
        <v>-3.0307622367025306E-3</v>
      </c>
    </row>
    <row r="86" spans="1:3" x14ac:dyDescent="0.35">
      <c r="A86">
        <v>1984</v>
      </c>
      <c r="B86" s="2">
        <v>12894</v>
      </c>
      <c r="C86" s="1">
        <f>IF(_7A_GDPPC_year_PT[[#This Row],[Year]]=1900,0,((B86-B85)/B85))</f>
        <v>-2.0063839489284085E-2</v>
      </c>
    </row>
    <row r="87" spans="1:3" x14ac:dyDescent="0.35">
      <c r="A87">
        <v>1985</v>
      </c>
      <c r="B87" s="2">
        <v>13240</v>
      </c>
      <c r="C87" s="1">
        <f>IF(_7A_GDPPC_year_PT[[#This Row],[Year]]=1900,0,((B87-B86)/B86))</f>
        <v>2.6834186443306964E-2</v>
      </c>
    </row>
    <row r="88" spans="1:3" x14ac:dyDescent="0.35">
      <c r="A88">
        <v>1986</v>
      </c>
      <c r="B88" s="2">
        <v>13774</v>
      </c>
      <c r="C88" s="1">
        <f>IF(_7A_GDPPC_year_PT[[#This Row],[Year]]=1900,0,((B88-B87)/B87))</f>
        <v>4.0332326283987918E-2</v>
      </c>
    </row>
    <row r="89" spans="1:3" x14ac:dyDescent="0.35">
      <c r="A89">
        <v>1987</v>
      </c>
      <c r="B89" s="2">
        <v>14641</v>
      </c>
      <c r="C89" s="1">
        <f>IF(_7A_GDPPC_year_PT[[#This Row],[Year]]=1900,0,((B89-B88)/B88))</f>
        <v>6.2944678379555682E-2</v>
      </c>
    </row>
    <row r="90" spans="1:3" x14ac:dyDescent="0.35">
      <c r="A90">
        <v>1988</v>
      </c>
      <c r="B90" s="2">
        <v>15729</v>
      </c>
      <c r="C90" s="1">
        <f>IF(_7A_GDPPC_year_PT[[#This Row],[Year]]=1900,0,((B90-B89)/B89))</f>
        <v>7.4311863943719692E-2</v>
      </c>
    </row>
    <row r="91" spans="1:3" x14ac:dyDescent="0.35">
      <c r="A91">
        <v>1989</v>
      </c>
      <c r="B91" s="2">
        <v>16533</v>
      </c>
      <c r="C91" s="1">
        <f>IF(_7A_GDPPC_year_PT[[#This Row],[Year]]=1900,0,((B91-B90)/B90))</f>
        <v>5.1115773412168608E-2</v>
      </c>
    </row>
    <row r="92" spans="1:3" x14ac:dyDescent="0.35">
      <c r="A92">
        <v>1990</v>
      </c>
      <c r="B92" s="2">
        <v>17256</v>
      </c>
      <c r="C92" s="1">
        <f>IF(_7A_GDPPC_year_PT[[#This Row],[Year]]=1900,0,((B92-B91)/B91))</f>
        <v>4.3730720377426965E-2</v>
      </c>
    </row>
    <row r="93" spans="1:3" x14ac:dyDescent="0.35">
      <c r="A93">
        <v>1991</v>
      </c>
      <c r="B93" s="2">
        <v>17949.809000000001</v>
      </c>
      <c r="C93" s="1">
        <f>IF(_7A_GDPPC_year_PT[[#This Row],[Year]]=1900,0,((B93-B92)/B92))</f>
        <v>4.0206826611033905E-2</v>
      </c>
    </row>
    <row r="94" spans="1:3" x14ac:dyDescent="0.35">
      <c r="A94">
        <v>1992</v>
      </c>
      <c r="B94" s="2">
        <v>18598.526999999998</v>
      </c>
      <c r="C94" s="1">
        <f>IF(_7A_GDPPC_year_PT[[#This Row],[Year]]=1900,0,((B94-B93)/B93))</f>
        <v>3.6140663112348273E-2</v>
      </c>
    </row>
    <row r="95" spans="1:3" x14ac:dyDescent="0.35">
      <c r="A95">
        <v>1993</v>
      </c>
      <c r="B95" s="2">
        <v>18519.934000000001</v>
      </c>
      <c r="C95" s="1">
        <f>IF(_7A_GDPPC_year_PT[[#This Row],[Year]]=1900,0,((B95-B94)/B94))</f>
        <v>-4.2257647608327864E-3</v>
      </c>
    </row>
    <row r="96" spans="1:3" x14ac:dyDescent="0.35">
      <c r="A96">
        <v>1994</v>
      </c>
      <c r="B96" s="2">
        <v>18819.026999999998</v>
      </c>
      <c r="C96" s="1">
        <f>IF(_7A_GDPPC_year_PT[[#This Row],[Year]]=1900,0,((B96-B95)/B95))</f>
        <v>1.6149787574836774E-2</v>
      </c>
    </row>
    <row r="97" spans="1:3" x14ac:dyDescent="0.35">
      <c r="A97">
        <v>1995</v>
      </c>
      <c r="B97" s="2">
        <v>19262.030999999999</v>
      </c>
      <c r="C97" s="1">
        <f>IF(_7A_GDPPC_year_PT[[#This Row],[Year]]=1900,0,((B97-B96)/B96))</f>
        <v>2.3540218099479895E-2</v>
      </c>
    </row>
    <row r="98" spans="1:3" x14ac:dyDescent="0.35">
      <c r="A98">
        <v>1996</v>
      </c>
      <c r="B98" s="2">
        <v>19939.310000000001</v>
      </c>
      <c r="C98" s="1">
        <f>IF(_7A_GDPPC_year_PT[[#This Row],[Year]]=1900,0,((B98-B97)/B97))</f>
        <v>3.5161349288660285E-2</v>
      </c>
    </row>
    <row r="99" spans="1:3" x14ac:dyDescent="0.35">
      <c r="A99">
        <v>1997</v>
      </c>
      <c r="B99" s="2">
        <v>20810.178</v>
      </c>
      <c r="C99" s="1">
        <f>IF(_7A_GDPPC_year_PT[[#This Row],[Year]]=1900,0,((B99-B98)/B98))</f>
        <v>4.3675934623615284E-2</v>
      </c>
    </row>
    <row r="100" spans="1:3" x14ac:dyDescent="0.35">
      <c r="A100">
        <v>1998</v>
      </c>
      <c r="B100" s="2">
        <v>21782.12</v>
      </c>
      <c r="C100" s="1">
        <f>IF(_7A_GDPPC_year_PT[[#This Row],[Year]]=1900,0,((B100-B99)/B99))</f>
        <v>4.6705126693293977E-2</v>
      </c>
    </row>
    <row r="101" spans="1:3" x14ac:dyDescent="0.35">
      <c r="A101">
        <v>1999</v>
      </c>
      <c r="B101" s="2">
        <v>22589.921999999999</v>
      </c>
      <c r="C101" s="1">
        <f>IF(_7A_GDPPC_year_PT[[#This Row],[Year]]=1900,0,((B101-B100)/B100))</f>
        <v>3.7085554574118579E-2</v>
      </c>
    </row>
    <row r="102" spans="1:3" x14ac:dyDescent="0.35">
      <c r="A102">
        <v>2000</v>
      </c>
      <c r="B102" s="2">
        <v>23372.041000000001</v>
      </c>
      <c r="C102" s="1">
        <f>IF(_7A_GDPPC_year_PT[[#This Row],[Year]]=1900,0,((B102-B101)/B101))</f>
        <v>3.4622474570740108E-2</v>
      </c>
    </row>
    <row r="103" spans="1:3" x14ac:dyDescent="0.35">
      <c r="A103">
        <v>2001</v>
      </c>
      <c r="B103" s="2">
        <v>23751.370999999999</v>
      </c>
      <c r="C103" s="1">
        <f>IF(_7A_GDPPC_year_PT[[#This Row],[Year]]=1900,0,((B103-B102)/B102))</f>
        <v>1.6230075927044545E-2</v>
      </c>
    </row>
    <row r="104" spans="1:3" x14ac:dyDescent="0.35">
      <c r="A104">
        <v>2002</v>
      </c>
      <c r="B104" s="2">
        <v>23896.458999999999</v>
      </c>
      <c r="C104" s="1">
        <f>IF(_7A_GDPPC_year_PT[[#This Row],[Year]]=1900,0,((B104-B103)/B103))</f>
        <v>6.1086157931683075E-3</v>
      </c>
    </row>
    <row r="105" spans="1:3" x14ac:dyDescent="0.35">
      <c r="A105">
        <v>2003</v>
      </c>
      <c r="B105" s="2">
        <v>23677.52</v>
      </c>
      <c r="C105" s="1">
        <f>IF(_7A_GDPPC_year_PT[[#This Row],[Year]]=1900,0,((B105-B104)/B104))</f>
        <v>-9.1619850455667302E-3</v>
      </c>
    </row>
    <row r="106" spans="1:3" x14ac:dyDescent="0.35">
      <c r="A106">
        <v>2004</v>
      </c>
      <c r="B106" s="2">
        <v>24142.766</v>
      </c>
      <c r="C106" s="1">
        <f>IF(_7A_GDPPC_year_PT[[#This Row],[Year]]=1900,0,((B106-B105)/B105))</f>
        <v>1.9649270700647668E-2</v>
      </c>
    </row>
    <row r="107" spans="1:3" x14ac:dyDescent="0.35">
      <c r="A107">
        <v>2005</v>
      </c>
      <c r="B107" s="2">
        <v>24377.95</v>
      </c>
      <c r="C107" s="1">
        <f>IF(_7A_GDPPC_year_PT[[#This Row],[Year]]=1900,0,((B107-B106)/B106))</f>
        <v>9.7413858875988399E-3</v>
      </c>
    </row>
    <row r="108" spans="1:3" x14ac:dyDescent="0.35">
      <c r="A108">
        <v>2006</v>
      </c>
      <c r="B108" s="2">
        <v>24809.040000000001</v>
      </c>
      <c r="C108" s="1">
        <f>IF(_7A_GDPPC_year_PT[[#This Row],[Year]]=1900,0,((B108-B107)/B107))</f>
        <v>1.7683603420304009E-2</v>
      </c>
    </row>
    <row r="109" spans="1:3" x14ac:dyDescent="0.35">
      <c r="A109">
        <v>2007</v>
      </c>
      <c r="B109" s="2">
        <v>25477.205000000002</v>
      </c>
      <c r="C109" s="1">
        <f>IF(_7A_GDPPC_year_PT[[#This Row],[Year]]=1900,0,((B109-B108)/B108))</f>
        <v>2.6932319831803279E-2</v>
      </c>
    </row>
    <row r="110" spans="1:3" x14ac:dyDescent="0.35">
      <c r="A110">
        <v>2008</v>
      </c>
      <c r="B110" s="2">
        <v>25590.880000000001</v>
      </c>
      <c r="C110" s="1">
        <f>IF(_7A_GDPPC_year_PT[[#This Row],[Year]]=1900,0,((B110-B109)/B109))</f>
        <v>4.4618316648156369E-3</v>
      </c>
    </row>
    <row r="111" spans="1:3" x14ac:dyDescent="0.35">
      <c r="A111">
        <v>2009</v>
      </c>
      <c r="B111" s="2">
        <v>24902.456999999999</v>
      </c>
      <c r="C111" s="1">
        <f>IF(_7A_GDPPC_year_PT[[#This Row],[Year]]=1900,0,((B111-B110)/B110))</f>
        <v>-2.6901106956853476E-2</v>
      </c>
    </row>
    <row r="112" spans="1:3" x14ac:dyDescent="0.35">
      <c r="A112">
        <v>2010</v>
      </c>
      <c r="B112" s="2">
        <v>25463.164000000001</v>
      </c>
      <c r="C112" s="1">
        <f>IF(_7A_GDPPC_year_PT[[#This Row],[Year]]=1900,0,((B112-B111)/B111))</f>
        <v>2.2516131641146984E-2</v>
      </c>
    </row>
    <row r="113" spans="1:3" x14ac:dyDescent="0.35">
      <c r="A113">
        <v>2011</v>
      </c>
      <c r="B113" s="2">
        <v>25133</v>
      </c>
      <c r="C113" s="1">
        <f>IF(_7A_GDPPC_year_PT[[#This Row],[Year]]=1900,0,((B113-B112)/B112))</f>
        <v>-1.296633835449517E-2</v>
      </c>
    </row>
    <row r="114" spans="1:3" x14ac:dyDescent="0.35">
      <c r="A114">
        <v>2012</v>
      </c>
      <c r="B114" s="2">
        <v>24211.437999999998</v>
      </c>
      <c r="C114" s="1">
        <f>IF(_7A_GDPPC_year_PT[[#This Row],[Year]]=1900,0,((B114-B113)/B113))</f>
        <v>-3.6667409382087367E-2</v>
      </c>
    </row>
    <row r="115" spans="1:3" x14ac:dyDescent="0.35">
      <c r="A115">
        <v>2013</v>
      </c>
      <c r="B115" s="2">
        <v>24119.96</v>
      </c>
      <c r="C115" s="1">
        <f>IF(_7A_GDPPC_year_PT[[#This Row],[Year]]=1900,0,((B115-B114)/B114))</f>
        <v>-3.7782968529171692E-3</v>
      </c>
    </row>
    <row r="116" spans="1:3" x14ac:dyDescent="0.35">
      <c r="A116">
        <v>2014</v>
      </c>
      <c r="B116" s="2">
        <v>24442.386999999999</v>
      </c>
      <c r="C116" s="1">
        <f>IF(_7A_GDPPC_year_PT[[#This Row],[Year]]=1900,0,((B116-B115)/B115))</f>
        <v>1.3367642400733654E-2</v>
      </c>
    </row>
    <row r="117" spans="1:3" x14ac:dyDescent="0.35">
      <c r="A117">
        <v>2015</v>
      </c>
      <c r="B117" s="2">
        <v>24983.701000000001</v>
      </c>
      <c r="C117" s="1">
        <f>IF(_7A_GDPPC_year_PT[[#This Row],[Year]]=1900,0,((B117-B116)/B116))</f>
        <v>2.2146527669331239E-2</v>
      </c>
    </row>
    <row r="118" spans="1:3" x14ac:dyDescent="0.35">
      <c r="A118">
        <v>2016</v>
      </c>
      <c r="B118" s="2">
        <v>25568.695</v>
      </c>
      <c r="C118" s="1">
        <f>IF(_7A_GDPPC_year_PT[[#This Row],[Year]]=1900,0,((B118-B117)/B117))</f>
        <v>2.3415025660129329E-2</v>
      </c>
    </row>
    <row r="119" spans="1:3" x14ac:dyDescent="0.35">
      <c r="A119">
        <v>2017</v>
      </c>
      <c r="B119" s="2">
        <v>26529.986000000001</v>
      </c>
      <c r="C119" s="1">
        <f>IF(_7A_GDPPC_year_PT[[#This Row],[Year]]=1900,0,((B119-B118)/B118))</f>
        <v>3.7596404509498867E-2</v>
      </c>
    </row>
    <row r="120" spans="1:3" x14ac:dyDescent="0.35">
      <c r="A120">
        <v>2018</v>
      </c>
      <c r="B120" s="2">
        <v>27329.69</v>
      </c>
      <c r="C120" s="1">
        <f>IF(_7A_GDPPC_year_PT[[#This Row],[Year]]=1900,0,((B120-B119)/B119))</f>
        <v>3.0143400754150337E-2</v>
      </c>
    </row>
    <row r="121" spans="1:3" x14ac:dyDescent="0.35">
      <c r="A121">
        <v>2019</v>
      </c>
      <c r="B121" s="2">
        <v>28056.057000000001</v>
      </c>
      <c r="C121" s="1">
        <f>IF(_7A_GDPPC_year_PT[[#This Row],[Year]]=1900,0,((B121-B120)/B120))</f>
        <v>2.6577945084631478E-2</v>
      </c>
    </row>
    <row r="122" spans="1:3" x14ac:dyDescent="0.35">
      <c r="A122">
        <v>2020</v>
      </c>
      <c r="B122" s="2">
        <v>25700.282999999999</v>
      </c>
      <c r="C122" s="1">
        <f>IF(_7A_GDPPC_year_PT[[#This Row],[Year]]=1900,0,((B122-B121)/B121))</f>
        <v>-8.3966681419274325E-2</v>
      </c>
    </row>
    <row r="123" spans="1:3" x14ac:dyDescent="0.35">
      <c r="A123">
        <v>2021</v>
      </c>
      <c r="B123" s="2">
        <v>27138.478999999999</v>
      </c>
      <c r="C123" s="1">
        <f>IF(_7A_GDPPC_year_PT[[#This Row],[Year]]=1900,0,((B123-B122)/B122))</f>
        <v>5.5960317635412808E-2</v>
      </c>
    </row>
    <row r="124" spans="1:3" x14ac:dyDescent="0.35">
      <c r="A124">
        <v>2022</v>
      </c>
      <c r="B124" s="2">
        <v>28992.059000000001</v>
      </c>
      <c r="C124" s="1">
        <f>IF(_7A_GDPPC_year_PT[[#This Row],[Year]]=1900,0,((B124-B123)/B123))</f>
        <v>6.8300806393755589E-2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0519-22E1-4785-B78B-1D4FA36F7CBD}">
  <dimension ref="A1:D16"/>
  <sheetViews>
    <sheetView tabSelected="1" workbookViewId="0">
      <selection activeCell="A16" sqref="A16"/>
    </sheetView>
  </sheetViews>
  <sheetFormatPr defaultRowHeight="14.5" x14ac:dyDescent="0.35"/>
  <cols>
    <col min="1" max="1" width="9.453125" bestFit="1" customWidth="1"/>
    <col min="2" max="2" width="23.36328125" bestFit="1" customWidth="1"/>
    <col min="3" max="3" width="9.90625" bestFit="1" customWidth="1"/>
    <col min="4" max="4" width="9.08984375" bestFit="1" customWidth="1"/>
  </cols>
  <sheetData>
    <row r="1" spans="1:4" x14ac:dyDescent="0.35">
      <c r="A1" t="s">
        <v>3</v>
      </c>
      <c r="B1" t="s">
        <v>1</v>
      </c>
      <c r="C1" t="s">
        <v>4</v>
      </c>
      <c r="D1" t="s">
        <v>2</v>
      </c>
    </row>
    <row r="2" spans="1:4" x14ac:dyDescent="0.35">
      <c r="A2">
        <v>1900</v>
      </c>
      <c r="B2" s="2">
        <v>1997.1</v>
      </c>
      <c r="C2" s="2">
        <f>_xlfn.XLOOKUP(_7A_GDPPC_decade_PT[[#This Row],[Decade]],[1]!_7A_GDPPC_year_PT[Year],[1]!_7A_GDPPC_year_PT[Portugal/GDP per capita],"",0)</f>
        <v>2075</v>
      </c>
      <c r="D2" s="1">
        <f>IF(_7A_GDPPC_decade_PT[[#This Row],[Decade]]=2020,"No data",(C3-_7A_GDPPC_decade_PT[[#This Row],[GDP init]])/_7A_GDPPC_decade_PT[[#This Row],[GDP init]])</f>
        <v>-5.6867469879518073E-2</v>
      </c>
    </row>
    <row r="3" spans="1:4" x14ac:dyDescent="0.35">
      <c r="A3">
        <v>1910</v>
      </c>
      <c r="B3" s="2">
        <v>1949.7</v>
      </c>
      <c r="C3" s="2">
        <f>_xlfn.XLOOKUP(_7A_GDPPC_decade_PT[[#This Row],[Decade]],[1]!_7A_GDPPC_year_PT[Year],[1]!_7A_GDPPC_year_PT[Portugal/GDP per capita],"",0)</f>
        <v>1957</v>
      </c>
      <c r="D3" s="1">
        <f>IF(_7A_GDPPC_decade_PT[[#This Row],[Decade]]=2020,"No data",(C4-_7A_GDPPC_decade_PT[[#This Row],[GDP init]])/_7A_GDPPC_decade_PT[[#This Row],[GDP init]])</f>
        <v>1.021972406745018E-3</v>
      </c>
    </row>
    <row r="4" spans="1:4" x14ac:dyDescent="0.35">
      <c r="A4">
        <v>1920</v>
      </c>
      <c r="B4" s="2">
        <v>2297.8000000000002</v>
      </c>
      <c r="C4" s="2">
        <f>_xlfn.XLOOKUP(_7A_GDPPC_decade_PT[[#This Row],[Decade]],[1]!_7A_GDPPC_year_PT[Year],[1]!_7A_GDPPC_year_PT[Portugal/GDP per capita],"",0)</f>
        <v>1959</v>
      </c>
      <c r="D4" s="1">
        <f>IF(_7A_GDPPC_decade_PT[[#This Row],[Decade]]=2020,"No data",(C5-_7A_GDPPC_decade_PT[[#This Row],[GDP init]])/_7A_GDPPC_decade_PT[[#This Row],[GDP init]])</f>
        <v>0.27820316488004082</v>
      </c>
    </row>
    <row r="5" spans="1:4" x14ac:dyDescent="0.35">
      <c r="A5">
        <v>1930</v>
      </c>
      <c r="B5" s="2">
        <v>2679</v>
      </c>
      <c r="C5" s="2">
        <f>_xlfn.XLOOKUP(_7A_GDPPC_decade_PT[[#This Row],[Decade]],[1]!_7A_GDPPC_year_PT[Year],[1]!_7A_GDPPC_year_PT[Portugal/GDP per capita],"",0)</f>
        <v>2504</v>
      </c>
      <c r="D5" s="1">
        <f>IF(_7A_GDPPC_decade_PT[[#This Row],[Decade]]=2020,"No data",(C6-_7A_GDPPC_decade_PT[[#This Row],[GDP init]])/_7A_GDPPC_decade_PT[[#This Row],[GDP init]])</f>
        <v>2.7955271565495207E-2</v>
      </c>
    </row>
    <row r="6" spans="1:4" x14ac:dyDescent="0.35">
      <c r="A6">
        <v>1940</v>
      </c>
      <c r="B6" s="2">
        <v>2976.8</v>
      </c>
      <c r="C6" s="2">
        <f>_xlfn.XLOOKUP(_7A_GDPPC_decade_PT[[#This Row],[Decade]],[1]!_7A_GDPPC_year_PT[Year],[1]!_7A_GDPPC_year_PT[Portugal/GDP per capita],"",0)</f>
        <v>2574</v>
      </c>
      <c r="D6" s="1">
        <f>IF(_7A_GDPPC_decade_PT[[#This Row],[Decade]]=2020,"No data",(C7-_7A_GDPPC_decade_PT[[#This Row],[GDP init]])/_7A_GDPPC_decade_PT[[#This Row],[GDP init]])</f>
        <v>0.29176379176379175</v>
      </c>
    </row>
    <row r="7" spans="1:4" x14ac:dyDescent="0.35">
      <c r="A7">
        <v>1950</v>
      </c>
      <c r="B7" s="2">
        <v>3868.6</v>
      </c>
      <c r="C7" s="2">
        <f>_xlfn.XLOOKUP(_7A_GDPPC_decade_PT[[#This Row],[Decade]],[1]!_7A_GDPPC_year_PT[Year],[1]!_7A_GDPPC_year_PT[Portugal/GDP per capita],"",0)</f>
        <v>3325</v>
      </c>
      <c r="D7" s="1">
        <f>IF(_7A_GDPPC_decade_PT[[#This Row],[Decade]]=2020,"No data",(C8-_7A_GDPPC_decade_PT[[#This Row],[GDP init]])/_7A_GDPPC_decade_PT[[#This Row],[GDP init]])</f>
        <v>0.41714285714285715</v>
      </c>
    </row>
    <row r="8" spans="1:4" x14ac:dyDescent="0.35">
      <c r="A8">
        <v>1960</v>
      </c>
      <c r="B8" s="2">
        <v>6236.2</v>
      </c>
      <c r="C8" s="2">
        <f>_xlfn.XLOOKUP(_7A_GDPPC_decade_PT[[#This Row],[Decade]],[1]!_7A_GDPPC_year_PT[Year],[1]!_7A_GDPPC_year_PT[Portugal/GDP per capita],"",0)</f>
        <v>4712</v>
      </c>
      <c r="D8" s="1">
        <f>IF(_7A_GDPPC_decade_PT[[#This Row],[Decade]]=2020,"No data",(C9-_7A_GDPPC_decade_PT[[#This Row],[GDP init]])/_7A_GDPPC_decade_PT[[#This Row],[GDP init]])</f>
        <v>0.85144312393887944</v>
      </c>
    </row>
    <row r="9" spans="1:4" x14ac:dyDescent="0.35">
      <c r="A9">
        <v>1970</v>
      </c>
      <c r="B9" s="2">
        <v>10740.1</v>
      </c>
      <c r="C9" s="2">
        <f>_xlfn.XLOOKUP(_7A_GDPPC_decade_PT[[#This Row],[Decade]],[1]!_7A_GDPPC_year_PT[Year],[1]!_7A_GDPPC_year_PT[Portugal/GDP per capita],"",0)</f>
        <v>8724</v>
      </c>
      <c r="D9" s="1">
        <f>IF(_7A_GDPPC_decade_PT[[#This Row],[Decade]]=2020,"No data",(C10-_7A_GDPPC_decade_PT[[#This Row],[GDP init]])/_7A_GDPPC_decade_PT[[#This Row],[GDP init]])</f>
        <v>0.46973865199449794</v>
      </c>
    </row>
    <row r="10" spans="1:4" x14ac:dyDescent="0.35">
      <c r="A10">
        <v>1980</v>
      </c>
      <c r="B10" s="2">
        <v>13892.3</v>
      </c>
      <c r="C10" s="2">
        <f>_xlfn.XLOOKUP(_7A_GDPPC_decade_PT[[#This Row],[Decade]],[1]!_7A_GDPPC_year_PT[Year],[1]!_7A_GDPPC_year_PT[Portugal/GDP per capita],"",0)</f>
        <v>12822</v>
      </c>
      <c r="D10" s="1">
        <f>IF(_7A_GDPPC_decade_PT[[#This Row],[Decade]]=2020,"No data",(C11-_7A_GDPPC_decade_PT[[#This Row],[GDP init]])/_7A_GDPPC_decade_PT[[#This Row],[GDP init]])</f>
        <v>0.34581188582124472</v>
      </c>
    </row>
    <row r="11" spans="1:4" x14ac:dyDescent="0.35">
      <c r="A11">
        <v>1990</v>
      </c>
      <c r="B11" s="2">
        <v>19552.685799999999</v>
      </c>
      <c r="C11" s="2">
        <f>_xlfn.XLOOKUP(_7A_GDPPC_decade_PT[[#This Row],[Decade]],[1]!_7A_GDPPC_year_PT[Year],[1]!_7A_GDPPC_year_PT[Portugal/GDP per capita],"",0)</f>
        <v>17256</v>
      </c>
      <c r="D11" s="1">
        <f>IF(_7A_GDPPC_decade_PT[[#This Row],[Decade]]=2020,"No data",(C12-_7A_GDPPC_decade_PT[[#This Row],[GDP init]])/_7A_GDPPC_decade_PT[[#This Row],[GDP init]])</f>
        <v>0.35442982151135843</v>
      </c>
    </row>
    <row r="12" spans="1:4" x14ac:dyDescent="0.35">
      <c r="A12">
        <v>2000</v>
      </c>
      <c r="B12" s="2">
        <v>24399.768899999999</v>
      </c>
      <c r="C12" s="2">
        <f>_xlfn.XLOOKUP(_7A_GDPPC_decade_PT[[#This Row],[Decade]],[1]!_7A_GDPPC_year_PT[Year],[1]!_7A_GDPPC_year_PT[Portugal/GDP per capita],"",0)</f>
        <v>23372.041000000001</v>
      </c>
      <c r="D12" s="1">
        <f>IF(_7A_GDPPC_decade_PT[[#This Row],[Decade]]=2020,"No data",(C13-_7A_GDPPC_decade_PT[[#This Row],[GDP init]])/_7A_GDPPC_decade_PT[[#This Row],[GDP init]])</f>
        <v>8.9471133479527926E-2</v>
      </c>
    </row>
    <row r="13" spans="1:4" x14ac:dyDescent="0.35">
      <c r="A13">
        <v>2010</v>
      </c>
      <c r="B13" s="2">
        <v>25583.807799999999</v>
      </c>
      <c r="C13" s="2">
        <f>_xlfn.XLOOKUP(_7A_GDPPC_decade_PT[[#This Row],[Decade]],[1]!_7A_GDPPC_year_PT[Year],[1]!_7A_GDPPC_year_PT[Portugal/GDP per capita],"",0)</f>
        <v>25463.164000000001</v>
      </c>
      <c r="D13" s="1">
        <f>IF(_7A_GDPPC_decade_PT[[#This Row],[Decade]]=2020,"No data",(C14-_7A_GDPPC_decade_PT[[#This Row],[GDP init]])/_7A_GDPPC_decade_PT[[#This Row],[GDP init]])</f>
        <v>9.3122362955365152E-3</v>
      </c>
    </row>
    <row r="14" spans="1:4" x14ac:dyDescent="0.35">
      <c r="A14">
        <v>2020</v>
      </c>
      <c r="B14" s="2">
        <v>27276.940333333299</v>
      </c>
      <c r="C14" s="2">
        <f>_xlfn.XLOOKUP(_7A_GDPPC_decade_PT[[#This Row],[Decade]],[1]!_7A_GDPPC_year_PT[Year],[1]!_7A_GDPPC_year_PT[Portugal/GDP per capita],"",0)</f>
        <v>25700.282999999999</v>
      </c>
      <c r="D14" s="1" t="str">
        <f>IF(_7A_GDPPC_decade_PT[[#This Row],[Decade]]=2020,"No data",(C15-_7A_GDPPC_decade_PT[[#This Row],[GDP init]])/_7A_GDPPC_decade_PT[[#This Row],[GDP init]])</f>
        <v>No data</v>
      </c>
    </row>
    <row r="16" spans="1:4" x14ac:dyDescent="0.35">
      <c r="A16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2FB1F-E7DC-4738-A329-524CAC86D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7A_GDPPC_year_PT</vt:lpstr>
      <vt:lpstr>7A_GDPPC_decade_PT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Pereira de Brito Líbano Monteiro</dc:creator>
  <cp:lastModifiedBy>Rita Pereira de Brito Líbano Monteiro</cp:lastModifiedBy>
  <dcterms:created xsi:type="dcterms:W3CDTF">2026-10-21T10:31:51Z</dcterms:created>
  <dcterms:modified xsi:type="dcterms:W3CDTF">2026-10-21T13:01:12Z</dcterms:modified>
</cp:coreProperties>
</file>
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icopt-my.sharepoint.com/personal/ist1110754_m365_tecnico_pt/Documents/Documentos/.IST/26-27/AID/Projeto/Task7/C/"/>
    </mc:Choice>
  </mc:AlternateContent>
  <xr:revisionPtr revIDLastSave="0" documentId="8_{2E7E6945-0DF6-43DB-A75A-5FC8CE7FFCC9}" xr6:coauthVersionLast="47" xr6:coauthVersionMax="47" xr10:uidLastSave="{00000000-0000-0000-0000-000000000000}"/>
  <bookViews>
    <workbookView xWindow="-110" yWindow="-110" windowWidth="19420" windowHeight="10300" xr2:uid="{2053C19F-4A51-42D8-9DE5-C57D7C007C63}"/>
  </bookViews>
  <sheets>
    <sheet name="7C_GDPPC_year_PTvsWE" sheetId="1" r:id="rId1"/>
  </sheets>
  <definedNames>
    <definedName name="ExternalData_1" localSheetId="0" hidden="1">'7C_GDPPC_year_PTvsWE'!$A$1:$C$124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4" i="1" l="1"/>
  <c r="D124" i="1"/>
  <c r="E124" i="1" s="1"/>
  <c r="F123" i="1"/>
  <c r="D123" i="1"/>
  <c r="E123" i="1" s="1"/>
  <c r="F122" i="1"/>
  <c r="D122" i="1"/>
  <c r="E122" i="1" s="1"/>
  <c r="F121" i="1"/>
  <c r="D121" i="1"/>
  <c r="E121" i="1" s="1"/>
  <c r="F120" i="1"/>
  <c r="D120" i="1"/>
  <c r="E120" i="1" s="1"/>
  <c r="F119" i="1"/>
  <c r="D119" i="1"/>
  <c r="E119" i="1" s="1"/>
  <c r="F118" i="1"/>
  <c r="E118" i="1"/>
  <c r="D118" i="1"/>
  <c r="F117" i="1"/>
  <c r="D117" i="1"/>
  <c r="E117" i="1" s="1"/>
  <c r="F116" i="1"/>
  <c r="D116" i="1"/>
  <c r="E116" i="1" s="1"/>
  <c r="F115" i="1"/>
  <c r="D115" i="1"/>
  <c r="E115" i="1" s="1"/>
  <c r="F114" i="1"/>
  <c r="D114" i="1"/>
  <c r="E114" i="1" s="1"/>
  <c r="F113" i="1"/>
  <c r="D113" i="1"/>
  <c r="E113" i="1" s="1"/>
  <c r="F112" i="1"/>
  <c r="D112" i="1"/>
  <c r="F111" i="1"/>
  <c r="D111" i="1"/>
  <c r="F110" i="1"/>
  <c r="D110" i="1"/>
  <c r="F109" i="1"/>
  <c r="D109" i="1"/>
  <c r="F108" i="1"/>
  <c r="D108" i="1"/>
  <c r="E108" i="1" s="1"/>
  <c r="F107" i="1"/>
  <c r="D107" i="1"/>
  <c r="E107" i="1" s="1"/>
  <c r="F106" i="1"/>
  <c r="D106" i="1"/>
  <c r="E106" i="1" s="1"/>
  <c r="F105" i="1"/>
  <c r="D105" i="1"/>
  <c r="E105" i="1" s="1"/>
  <c r="F104" i="1"/>
  <c r="D104" i="1"/>
  <c r="E104" i="1" s="1"/>
  <c r="F103" i="1"/>
  <c r="D103" i="1"/>
  <c r="F102" i="1"/>
  <c r="D102" i="1"/>
  <c r="E103" i="1" s="1"/>
  <c r="F101" i="1"/>
  <c r="D101" i="1"/>
  <c r="F100" i="1"/>
  <c r="D100" i="1"/>
  <c r="E100" i="1" s="1"/>
  <c r="F99" i="1"/>
  <c r="D99" i="1"/>
  <c r="E99" i="1" s="1"/>
  <c r="F98" i="1"/>
  <c r="D98" i="1"/>
  <c r="F97" i="1"/>
  <c r="D97" i="1"/>
  <c r="E98" i="1" s="1"/>
  <c r="F96" i="1"/>
  <c r="D96" i="1"/>
  <c r="F95" i="1"/>
  <c r="D95" i="1"/>
  <c r="E95" i="1" s="1"/>
  <c r="F94" i="1"/>
  <c r="D94" i="1"/>
  <c r="F93" i="1"/>
  <c r="D93" i="1"/>
  <c r="F92" i="1"/>
  <c r="D92" i="1"/>
  <c r="E92" i="1" s="1"/>
  <c r="F91" i="1"/>
  <c r="D91" i="1"/>
  <c r="F90" i="1"/>
  <c r="D90" i="1"/>
  <c r="F89" i="1"/>
  <c r="D89" i="1"/>
  <c r="F88" i="1"/>
  <c r="D88" i="1"/>
  <c r="E89" i="1" s="1"/>
  <c r="F87" i="1"/>
  <c r="D87" i="1"/>
  <c r="E88" i="1" s="1"/>
  <c r="F86" i="1"/>
  <c r="D86" i="1"/>
  <c r="F85" i="1"/>
  <c r="D85" i="1"/>
  <c r="E85" i="1" s="1"/>
  <c r="F84" i="1"/>
  <c r="D84" i="1"/>
  <c r="F83" i="1"/>
  <c r="D83" i="1"/>
  <c r="E84" i="1" s="1"/>
  <c r="F82" i="1"/>
  <c r="E82" i="1"/>
  <c r="D82" i="1"/>
  <c r="E83" i="1" s="1"/>
  <c r="F81" i="1"/>
  <c r="D81" i="1"/>
  <c r="F80" i="1"/>
  <c r="D80" i="1"/>
  <c r="F79" i="1"/>
  <c r="D79" i="1"/>
  <c r="F78" i="1"/>
  <c r="D78" i="1"/>
  <c r="E79" i="1" s="1"/>
  <c r="F77" i="1"/>
  <c r="D77" i="1"/>
  <c r="F76" i="1"/>
  <c r="D76" i="1"/>
  <c r="F75" i="1"/>
  <c r="D75" i="1"/>
  <c r="E76" i="1" s="1"/>
  <c r="F74" i="1"/>
  <c r="D74" i="1"/>
  <c r="E75" i="1" s="1"/>
  <c r="F73" i="1"/>
  <c r="D73" i="1"/>
  <c r="E74" i="1" s="1"/>
  <c r="F72" i="1"/>
  <c r="D72" i="1"/>
  <c r="E73" i="1" s="1"/>
  <c r="F71" i="1"/>
  <c r="D71" i="1"/>
  <c r="E72" i="1" s="1"/>
  <c r="F70" i="1"/>
  <c r="D70" i="1"/>
  <c r="E71" i="1" s="1"/>
  <c r="F69" i="1"/>
  <c r="D69" i="1"/>
  <c r="E70" i="1" s="1"/>
  <c r="F68" i="1"/>
  <c r="D68" i="1"/>
  <c r="F67" i="1"/>
  <c r="D67" i="1"/>
  <c r="F66" i="1"/>
  <c r="D66" i="1"/>
  <c r="F65" i="1"/>
  <c r="D65" i="1"/>
  <c r="F64" i="1"/>
  <c r="D64" i="1"/>
  <c r="F63" i="1"/>
  <c r="D63" i="1"/>
  <c r="E63" i="1" s="1"/>
  <c r="F62" i="1"/>
  <c r="D62" i="1"/>
  <c r="F61" i="1"/>
  <c r="D61" i="1"/>
  <c r="E62" i="1" s="1"/>
  <c r="F60" i="1"/>
  <c r="D60" i="1"/>
  <c r="F59" i="1"/>
  <c r="D59" i="1"/>
  <c r="E59" i="1" s="1"/>
  <c r="F58" i="1"/>
  <c r="D58" i="1"/>
  <c r="E58" i="1" s="1"/>
  <c r="F57" i="1"/>
  <c r="D57" i="1"/>
  <c r="F56" i="1"/>
  <c r="D56" i="1"/>
  <c r="E57" i="1" s="1"/>
  <c r="F55" i="1"/>
  <c r="D55" i="1"/>
  <c r="F54" i="1"/>
  <c r="D54" i="1"/>
  <c r="F53" i="1"/>
  <c r="D53" i="1"/>
  <c r="F52" i="1"/>
  <c r="D52" i="1"/>
  <c r="E52" i="1" s="1"/>
  <c r="F51" i="1"/>
  <c r="D51" i="1"/>
  <c r="E51" i="1" s="1"/>
  <c r="F50" i="1"/>
  <c r="D50" i="1"/>
  <c r="E50" i="1" s="1"/>
  <c r="F49" i="1"/>
  <c r="D49" i="1"/>
  <c r="F48" i="1"/>
  <c r="D48" i="1"/>
  <c r="E49" i="1" s="1"/>
  <c r="F47" i="1"/>
  <c r="D47" i="1"/>
  <c r="F46" i="1"/>
  <c r="D46" i="1"/>
  <c r="F45" i="1"/>
  <c r="D45" i="1"/>
  <c r="E46" i="1" s="1"/>
  <c r="F44" i="1"/>
  <c r="D44" i="1"/>
  <c r="E45" i="1" s="1"/>
  <c r="F43" i="1"/>
  <c r="D43" i="1"/>
  <c r="F42" i="1"/>
  <c r="E42" i="1"/>
  <c r="D42" i="1"/>
  <c r="F41" i="1"/>
  <c r="D41" i="1"/>
  <c r="F40" i="1"/>
  <c r="D40" i="1"/>
  <c r="E41" i="1" s="1"/>
  <c r="F39" i="1"/>
  <c r="D39" i="1"/>
  <c r="F38" i="1"/>
  <c r="D38" i="1"/>
  <c r="E38" i="1" s="1"/>
  <c r="F37" i="1"/>
  <c r="D37" i="1"/>
  <c r="F36" i="1"/>
  <c r="D36" i="1"/>
  <c r="E37" i="1" s="1"/>
  <c r="F35" i="1"/>
  <c r="D35" i="1"/>
  <c r="E36" i="1" s="1"/>
  <c r="F34" i="1"/>
  <c r="D34" i="1"/>
  <c r="E35" i="1" s="1"/>
  <c r="F33" i="1"/>
  <c r="D33" i="1"/>
  <c r="F32" i="1"/>
  <c r="D32" i="1"/>
  <c r="E32" i="1" s="1"/>
  <c r="F31" i="1"/>
  <c r="D31" i="1"/>
  <c r="E31" i="1" s="1"/>
  <c r="F30" i="1"/>
  <c r="D30" i="1"/>
  <c r="F29" i="1"/>
  <c r="D29" i="1"/>
  <c r="F28" i="1"/>
  <c r="D28" i="1"/>
  <c r="F27" i="1"/>
  <c r="D27" i="1"/>
  <c r="F26" i="1"/>
  <c r="D26" i="1"/>
  <c r="F25" i="1"/>
  <c r="D25" i="1"/>
  <c r="E26" i="1" s="1"/>
  <c r="F24" i="1"/>
  <c r="D24" i="1"/>
  <c r="F23" i="1"/>
  <c r="D23" i="1"/>
  <c r="E23" i="1" s="1"/>
  <c r="F22" i="1"/>
  <c r="D22" i="1"/>
  <c r="E22" i="1" s="1"/>
  <c r="F21" i="1"/>
  <c r="D21" i="1"/>
  <c r="F20" i="1"/>
  <c r="D20" i="1"/>
  <c r="F19" i="1"/>
  <c r="D19" i="1"/>
  <c r="F18" i="1"/>
  <c r="D18" i="1"/>
  <c r="E19" i="1" s="1"/>
  <c r="F17" i="1"/>
  <c r="D17" i="1"/>
  <c r="F16" i="1"/>
  <c r="E16" i="1"/>
  <c r="D16" i="1"/>
  <c r="F15" i="1"/>
  <c r="D15" i="1"/>
  <c r="E15" i="1" s="1"/>
  <c r="F14" i="1"/>
  <c r="D14" i="1"/>
  <c r="E14" i="1" s="1"/>
  <c r="F13" i="1"/>
  <c r="D13" i="1"/>
  <c r="F12" i="1"/>
  <c r="D12" i="1"/>
  <c r="F11" i="1"/>
  <c r="D11" i="1"/>
  <c r="E11" i="1" s="1"/>
  <c r="F10" i="1"/>
  <c r="D10" i="1"/>
  <c r="E10" i="1" s="1"/>
  <c r="F9" i="1"/>
  <c r="D9" i="1"/>
  <c r="F8" i="1"/>
  <c r="D8" i="1"/>
  <c r="F7" i="1"/>
  <c r="D7" i="1"/>
  <c r="E7" i="1" s="1"/>
  <c r="F6" i="1"/>
  <c r="D6" i="1"/>
  <c r="E6" i="1" s="1"/>
  <c r="F5" i="1"/>
  <c r="D5" i="1"/>
  <c r="E5" i="1" s="1"/>
  <c r="F4" i="1"/>
  <c r="D4" i="1"/>
  <c r="E4" i="1" s="1"/>
  <c r="F3" i="1"/>
  <c r="D3" i="1"/>
  <c r="E3" i="1" s="1"/>
  <c r="F2" i="1"/>
  <c r="E2" i="1"/>
  <c r="D2" i="1"/>
  <c r="E112" i="1" l="1"/>
  <c r="E111" i="1"/>
  <c r="E109" i="1"/>
  <c r="E110" i="1"/>
  <c r="E101" i="1"/>
  <c r="E102" i="1"/>
  <c r="E96" i="1"/>
  <c r="E97" i="1"/>
  <c r="E94" i="1"/>
  <c r="E93" i="1"/>
  <c r="E91" i="1"/>
  <c r="E90" i="1"/>
  <c r="E86" i="1"/>
  <c r="E87" i="1"/>
  <c r="E80" i="1"/>
  <c r="E81" i="1"/>
  <c r="E77" i="1"/>
  <c r="E78" i="1"/>
  <c r="E68" i="1"/>
  <c r="E69" i="1"/>
  <c r="E67" i="1"/>
  <c r="E66" i="1"/>
  <c r="E64" i="1"/>
  <c r="E65" i="1"/>
  <c r="E61" i="1"/>
  <c r="E60" i="1"/>
  <c r="E55" i="1"/>
  <c r="E56" i="1"/>
  <c r="E53" i="1"/>
  <c r="E54" i="1"/>
  <c r="E47" i="1"/>
  <c r="E48" i="1"/>
  <c r="E44" i="1"/>
  <c r="E43" i="1"/>
  <c r="E40" i="1"/>
  <c r="E39" i="1"/>
  <c r="E33" i="1"/>
  <c r="E34" i="1"/>
  <c r="E29" i="1"/>
  <c r="E30" i="1"/>
  <c r="E27" i="1"/>
  <c r="E28" i="1"/>
  <c r="E25" i="1"/>
  <c r="E24" i="1"/>
  <c r="E20" i="1"/>
  <c r="E21" i="1"/>
  <c r="E17" i="1"/>
  <c r="E18" i="1"/>
  <c r="E13" i="1"/>
  <c r="E12" i="1"/>
  <c r="E9" i="1"/>
  <c r="E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1C09F-D713-4BA4-8054-7DA72ABB2283}" keepAlive="1" name="Query - 7C_GDPPC_year_PTvsWE" description="Connection to the '7C_GDPPC_year_PTvsWE' query in the workbook." type="5" refreshedVersion="8" background="1" saveData="1">
    <dbPr connection="Provider=Microsoft.Mashup.OleDb.1;Data Source=$Workbook$;Location=7C_GDPPC_year_PTvsWE;Extended Properties=&quot;&quot;" command="SELECT * FROM [7C_GDPPC_year_PTvsWE]"/>
  </connection>
</connections>
</file>

<file path=xl/sharedStrings.xml><?xml version="1.0" encoding="utf-8"?>
<sst xmlns="http://schemas.openxmlformats.org/spreadsheetml/2006/main" count="6" uniqueCount="6">
  <si>
    <t>Year</t>
  </si>
  <si>
    <t>Focus/GDP per capita</t>
  </si>
  <si>
    <t>Western Europe/GDP per capita</t>
  </si>
  <si>
    <t>Difference</t>
  </si>
  <si>
    <t>Divergence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</si>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</sst>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5">
    <dxf>
      <numFmt numFmtId="2" formatCode="0.00"/>
    </dxf>
    <dxf>
      <numFmt numFmtId="2" formatCode="0.00"/>
    </dxf>
    <dxf>
      <numFmt numFmtId="2" formatCode="0.00"/>
    </dxf>
    <dxf>
      <numFmt numFmtId="164" formatCode="0.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81727-4E1B-46E4-8019-59E2A0A80B49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Year" tableColumnId="1"/>
      <queryTableField id="2" name="Focus/GDP per capita" tableColumnId="2"/>
      <queryTableField id="3" name="Western Europe/GDP per capita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784B5-F1B9-486C-963C-FA800CBB37C5}" name="_7C_GDPPC_year_PTvsWE" displayName="_7C_GDPPC_year_PTvsWE" ref="A1:F124" tableType="queryTable" totalsRowShown="0">
  <autoFilter ref="A1:F124" xr:uid="{911784B5-F1B9-486C-963C-FA800CBB37C5}"/>
  <sortState xmlns:xlrd2="http://schemas.microsoft.com/office/spreadsheetml/2017/richdata2" ref="A2:E124">
    <sortCondition ref="A1:A124"/>
  </sortState>
  <tableColumns count="6">
    <tableColumn id="1" xr3:uid="{479442A9-31C7-4A9B-A1EB-BB8BA0F04D9C}" uniqueName="1" name="Year" queryTableFieldId="1"/>
    <tableColumn id="2" xr3:uid="{7948CB94-EBD4-429F-A884-5B737F3C78A9}" uniqueName="2" name="Focus/GDP per capita" queryTableFieldId="2" dataDxfId="2"/>
    <tableColumn id="3" xr3:uid="{1C9CE108-D193-45A2-916A-058D49748F5E}" uniqueName="3" name="Western Europe/GDP per capita" queryTableFieldId="3" dataDxfId="0"/>
    <tableColumn id="4" xr3:uid="{003D59AB-E6BB-4EF5-8C20-FED29C64F1AF}" uniqueName="4" name="Difference" queryTableFieldId="4" dataDxfId="1">
      <calculatedColumnFormula>_7C_GDPPC_year_PTvsWE[[#This Row],[Western Europe/GDP per capita]]-_7C_GDPPC_year_PTvsWE[[#This Row],[Focus/GDP per capita]]</calculatedColumnFormula>
    </tableColumn>
    <tableColumn id="5" xr3:uid="{3BD236EC-F1DB-42B8-97FB-5711A12FE9B1}" uniqueName="5" name="Divergence" queryTableFieldId="5" dataDxfId="4">
      <calculatedColumnFormula>IF(_7C_GDPPC_year_PTvsWE[[#This Row],[Year]]=1900,"first",IF(_7C_GDPPC_year_PTvsWE[[#This Row],[Difference]]&gt;D1,"yes","no"))</calculatedColumnFormula>
    </tableColumn>
    <tableColumn id="6" xr3:uid="{E81B02F9-A838-412B-996D-8116DFD5A807}" uniqueName="6" name="Ratio" queryTableFieldId="6" dataDxfId="3" dataCellStyle="Percent">
      <calculatedColumnFormula>_7C_GDPPC_year_PTvsWE[[#This Row],[Focus/GDP per capita]]/_7C_GDPPC_year_PTvsWE[[#This Row],[Western Europe/GDP per capita]]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4F7E-6CD0-4E1B-80DE-DE567F498F8A}">
  <dimension ref="A1:F124"/>
  <sheetViews>
    <sheetView tabSelected="1" workbookViewId="0">
      <selection activeCell="I16" sqref="I16"/>
    </sheetView>
  </sheetViews>
  <sheetFormatPr defaultRowHeight="14.5" x14ac:dyDescent="0.35"/>
  <cols>
    <col min="2" max="2" width="21.36328125" bestFit="1" customWidth="1"/>
    <col min="3" max="3" width="29.6328125" bestFit="1" customWidth="1"/>
    <col min="4" max="4" width="1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1900</v>
      </c>
      <c r="B2" s="1">
        <v>2075</v>
      </c>
      <c r="C2" s="1">
        <v>3866.2317666667</v>
      </c>
      <c r="D2" s="1">
        <f>_7C_GDPPC_year_PTvsWE[[#This Row],[Western Europe/GDP per capita]]-_7C_GDPPC_year_PTvsWE[[#This Row],[Focus/GDP per capita]]</f>
        <v>1791.2317666667</v>
      </c>
      <c r="E2" t="str">
        <f>IF(_7C_GDPPC_year_PTvsWE[[#This Row],[Year]]=1900,"first",IF(_7C_GDPPC_year_PTvsWE[[#This Row],[Difference]]&gt;D1,"yes","no"))</f>
        <v>first</v>
      </c>
      <c r="F2" s="2">
        <f>_7C_GDPPC_year_PTvsWE[[#This Row],[Focus/GDP per capita]]/_7C_GDPPC_year_PTvsWE[[#This Row],[Western Europe/GDP per capita]]</f>
        <v>0.53669829571261751</v>
      </c>
    </row>
    <row r="3" spans="1:6" x14ac:dyDescent="0.35">
      <c r="A3">
        <v>1901</v>
      </c>
      <c r="B3" s="1">
        <v>2023</v>
      </c>
      <c r="C3" s="1">
        <v>3849.5753500000001</v>
      </c>
      <c r="D3" s="1">
        <f>_7C_GDPPC_year_PTvsWE[[#This Row],[Western Europe/GDP per capita]]-_7C_GDPPC_year_PTvsWE[[#This Row],[Focus/GDP per capita]]</f>
        <v>1826.5753500000001</v>
      </c>
      <c r="E3" t="str">
        <f>IF(_7C_GDPPC_year_PTvsWE[[#This Row],[Year]]=1900,"first",IF(_7C_GDPPC_year_PTvsWE[[#This Row],[Difference]]&gt;D2,"yes","no"))</f>
        <v>yes</v>
      </c>
      <c r="F3" s="2">
        <f>_7C_GDPPC_year_PTvsWE[[#This Row],[Focus/GDP per capita]]/_7C_GDPPC_year_PTvsWE[[#This Row],[Western Europe/GDP per capita]]</f>
        <v>0.52551250880178246</v>
      </c>
    </row>
    <row r="4" spans="1:6" x14ac:dyDescent="0.35">
      <c r="A4">
        <v>1902</v>
      </c>
      <c r="B4" s="1">
        <v>2018</v>
      </c>
      <c r="C4" s="1">
        <v>3920.6844000000001</v>
      </c>
      <c r="D4" s="1">
        <f>_7C_GDPPC_year_PTvsWE[[#This Row],[Western Europe/GDP per capita]]-_7C_GDPPC_year_PTvsWE[[#This Row],[Focus/GDP per capita]]</f>
        <v>1902.6844000000001</v>
      </c>
      <c r="E4" t="str">
        <f>IF(_7C_GDPPC_year_PTvsWE[[#This Row],[Year]]=1900,"first",IF(_7C_GDPPC_year_PTvsWE[[#This Row],[Difference]]&gt;D3,"yes","no"))</f>
        <v>yes</v>
      </c>
      <c r="F4" s="2">
        <f>_7C_GDPPC_year_PTvsWE[[#This Row],[Focus/GDP per capita]]/_7C_GDPPC_year_PTvsWE[[#This Row],[Western Europe/GDP per capita]]</f>
        <v>0.51470605489184484</v>
      </c>
    </row>
    <row r="5" spans="1:6" x14ac:dyDescent="0.35">
      <c r="A5">
        <v>1903</v>
      </c>
      <c r="B5" s="1">
        <v>2029</v>
      </c>
      <c r="C5" s="1">
        <v>3966.4690000000001</v>
      </c>
      <c r="D5" s="1">
        <f>_7C_GDPPC_year_PTvsWE[[#This Row],[Western Europe/GDP per capita]]-_7C_GDPPC_year_PTvsWE[[#This Row],[Focus/GDP per capita]]</f>
        <v>1937.4690000000001</v>
      </c>
      <c r="E5" t="str">
        <f>IF(_7C_GDPPC_year_PTvsWE[[#This Row],[Year]]=1900,"first",IF(_7C_GDPPC_year_PTvsWE[[#This Row],[Difference]]&gt;D4,"yes","no"))</f>
        <v>yes</v>
      </c>
      <c r="F5" s="2">
        <f>_7C_GDPPC_year_PTvsWE[[#This Row],[Focus/GDP per capita]]/_7C_GDPPC_year_PTvsWE[[#This Row],[Western Europe/GDP per capita]]</f>
        <v>0.51153809597402622</v>
      </c>
    </row>
    <row r="6" spans="1:6" x14ac:dyDescent="0.35">
      <c r="A6">
        <v>1904</v>
      </c>
      <c r="B6" s="1">
        <v>2039</v>
      </c>
      <c r="C6" s="1">
        <v>4026.5131500000002</v>
      </c>
      <c r="D6" s="1">
        <f>_7C_GDPPC_year_PTvsWE[[#This Row],[Western Europe/GDP per capita]]-_7C_GDPPC_year_PTvsWE[[#This Row],[Focus/GDP per capita]]</f>
        <v>1987.5131500000002</v>
      </c>
      <c r="E6" t="str">
        <f>IF(_7C_GDPPC_year_PTvsWE[[#This Row],[Year]]=1900,"first",IF(_7C_GDPPC_year_PTvsWE[[#This Row],[Difference]]&gt;D5,"yes","no"))</f>
        <v>yes</v>
      </c>
      <c r="F6" s="2">
        <f>_7C_GDPPC_year_PTvsWE[[#This Row],[Focus/GDP per capita]]/_7C_GDPPC_year_PTvsWE[[#This Row],[Western Europe/GDP per capita]]</f>
        <v>0.50639347843679583</v>
      </c>
    </row>
    <row r="7" spans="1:6" x14ac:dyDescent="0.35">
      <c r="A7">
        <v>1905</v>
      </c>
      <c r="B7" s="1">
        <v>1965</v>
      </c>
      <c r="C7" s="1">
        <v>4076.6455500000002</v>
      </c>
      <c r="D7" s="1">
        <f>_7C_GDPPC_year_PTvsWE[[#This Row],[Western Europe/GDP per capita]]-_7C_GDPPC_year_PTvsWE[[#This Row],[Focus/GDP per capita]]</f>
        <v>2111.6455500000002</v>
      </c>
      <c r="E7" t="str">
        <f>IF(_7C_GDPPC_year_PTvsWE[[#This Row],[Year]]=1900,"first",IF(_7C_GDPPC_year_PTvsWE[[#This Row],[Difference]]&gt;D6,"yes","no"))</f>
        <v>yes</v>
      </c>
      <c r="F7" s="2">
        <f>_7C_GDPPC_year_PTvsWE[[#This Row],[Focus/GDP per capita]]/_7C_GDPPC_year_PTvsWE[[#This Row],[Western Europe/GDP per capita]]</f>
        <v>0.48201394403788672</v>
      </c>
    </row>
    <row r="8" spans="1:6" x14ac:dyDescent="0.35">
      <c r="A8">
        <v>1906</v>
      </c>
      <c r="B8" s="1">
        <v>1962</v>
      </c>
      <c r="C8" s="1">
        <v>4151.9897000000001</v>
      </c>
      <c r="D8" s="1">
        <f>_7C_GDPPC_year_PTvsWE[[#This Row],[Western Europe/GDP per capita]]-_7C_GDPPC_year_PTvsWE[[#This Row],[Focus/GDP per capita]]</f>
        <v>2189.9897000000001</v>
      </c>
      <c r="E8" t="str">
        <f>IF(_7C_GDPPC_year_PTvsWE[[#This Row],[Year]]=1900,"first",IF(_7C_GDPPC_year_PTvsWE[[#This Row],[Difference]]&gt;D7,"yes","no"))</f>
        <v>yes</v>
      </c>
      <c r="F8" s="2">
        <f>_7C_GDPPC_year_PTvsWE[[#This Row],[Focus/GDP per capita]]/_7C_GDPPC_year_PTvsWE[[#This Row],[Western Europe/GDP per capita]]</f>
        <v>0.47254452485756404</v>
      </c>
    </row>
    <row r="9" spans="1:6" x14ac:dyDescent="0.35">
      <c r="A9">
        <v>1907</v>
      </c>
      <c r="B9" s="1">
        <v>1991</v>
      </c>
      <c r="C9" s="1">
        <v>4239.8597333333</v>
      </c>
      <c r="D9" s="1">
        <f>_7C_GDPPC_year_PTvsWE[[#This Row],[Western Europe/GDP per capita]]-_7C_GDPPC_year_PTvsWE[[#This Row],[Focus/GDP per capita]]</f>
        <v>2248.8597333333</v>
      </c>
      <c r="E9" t="str">
        <f>IF(_7C_GDPPC_year_PTvsWE[[#This Row],[Year]]=1900,"first",IF(_7C_GDPPC_year_PTvsWE[[#This Row],[Difference]]&gt;D8,"yes","no"))</f>
        <v>yes</v>
      </c>
      <c r="F9" s="2">
        <f>_7C_GDPPC_year_PTvsWE[[#This Row],[Focus/GDP per capita]]/_7C_GDPPC_year_PTvsWE[[#This Row],[Western Europe/GDP per capita]]</f>
        <v>0.46959100659556779</v>
      </c>
    </row>
    <row r="10" spans="1:6" x14ac:dyDescent="0.35">
      <c r="A10">
        <v>1908</v>
      </c>
      <c r="B10" s="1">
        <v>1943</v>
      </c>
      <c r="C10" s="1">
        <v>4261.2994833332996</v>
      </c>
      <c r="D10" s="1">
        <f>_7C_GDPPC_year_PTvsWE[[#This Row],[Western Europe/GDP per capita]]-_7C_GDPPC_year_PTvsWE[[#This Row],[Focus/GDP per capita]]</f>
        <v>2318.2994833332996</v>
      </c>
      <c r="E10" t="str">
        <f>IF(_7C_GDPPC_year_PTvsWE[[#This Row],[Year]]=1900,"first",IF(_7C_GDPPC_year_PTvsWE[[#This Row],[Difference]]&gt;D9,"yes","no"))</f>
        <v>yes</v>
      </c>
      <c r="F10" s="2">
        <f>_7C_GDPPC_year_PTvsWE[[#This Row],[Focus/GDP per capita]]/_7C_GDPPC_year_PTvsWE[[#This Row],[Western Europe/GDP per capita]]</f>
        <v>0.45596419768181484</v>
      </c>
    </row>
    <row r="11" spans="1:6" x14ac:dyDescent="0.35">
      <c r="A11">
        <v>1909</v>
      </c>
      <c r="B11" s="1">
        <v>1926</v>
      </c>
      <c r="C11" s="1">
        <v>4333.2094333332998</v>
      </c>
      <c r="D11" s="1">
        <f>_7C_GDPPC_year_PTvsWE[[#This Row],[Western Europe/GDP per capita]]-_7C_GDPPC_year_PTvsWE[[#This Row],[Focus/GDP per capita]]</f>
        <v>2407.2094333332998</v>
      </c>
      <c r="E11" t="str">
        <f>IF(_7C_GDPPC_year_PTvsWE[[#This Row],[Year]]=1900,"first",IF(_7C_GDPPC_year_PTvsWE[[#This Row],[Difference]]&gt;D10,"yes","no"))</f>
        <v>yes</v>
      </c>
      <c r="F11" s="2">
        <f>_7C_GDPPC_year_PTvsWE[[#This Row],[Focus/GDP per capita]]/_7C_GDPPC_year_PTvsWE[[#This Row],[Western Europe/GDP per capita]]</f>
        <v>0.4444742470059736</v>
      </c>
    </row>
    <row r="12" spans="1:6" x14ac:dyDescent="0.35">
      <c r="A12">
        <v>1910</v>
      </c>
      <c r="B12" s="1">
        <v>1957</v>
      </c>
      <c r="C12" s="1">
        <v>4296.8771666666998</v>
      </c>
      <c r="D12" s="1">
        <f>_7C_GDPPC_year_PTvsWE[[#This Row],[Western Europe/GDP per capita]]-_7C_GDPPC_year_PTvsWE[[#This Row],[Focus/GDP per capita]]</f>
        <v>2339.8771666666998</v>
      </c>
      <c r="E12" t="str">
        <f>IF(_7C_GDPPC_year_PTvsWE[[#This Row],[Year]]=1900,"first",IF(_7C_GDPPC_year_PTvsWE[[#This Row],[Difference]]&gt;D11,"yes","no"))</f>
        <v>no</v>
      </c>
      <c r="F12" s="2">
        <f>_7C_GDPPC_year_PTvsWE[[#This Row],[Focus/GDP per capita]]/_7C_GDPPC_year_PTvsWE[[#This Row],[Western Europe/GDP per capita]]</f>
        <v>0.4554470430715481</v>
      </c>
    </row>
    <row r="13" spans="1:6" x14ac:dyDescent="0.35">
      <c r="A13">
        <v>1911</v>
      </c>
      <c r="B13" s="1">
        <v>1980</v>
      </c>
      <c r="C13" s="1">
        <v>4558.1102666667002</v>
      </c>
      <c r="D13" s="1">
        <f>_7C_GDPPC_year_PTvsWE[[#This Row],[Western Europe/GDP per capita]]-_7C_GDPPC_year_PTvsWE[[#This Row],[Focus/GDP per capita]]</f>
        <v>2578.1102666667002</v>
      </c>
      <c r="E13" t="str">
        <f>IF(_7C_GDPPC_year_PTvsWE[[#This Row],[Year]]=1900,"first",IF(_7C_GDPPC_year_PTvsWE[[#This Row],[Difference]]&gt;D12,"yes","no"))</f>
        <v>yes</v>
      </c>
      <c r="F13" s="2">
        <f>_7C_GDPPC_year_PTvsWE[[#This Row],[Focus/GDP per capita]]/_7C_GDPPC_year_PTvsWE[[#This Row],[Western Europe/GDP per capita]]</f>
        <v>0.43439054436213848</v>
      </c>
    </row>
    <row r="14" spans="1:6" x14ac:dyDescent="0.35">
      <c r="A14">
        <v>1912</v>
      </c>
      <c r="B14" s="1">
        <v>2004</v>
      </c>
      <c r="C14" s="1">
        <v>4640.5136333333003</v>
      </c>
      <c r="D14" s="1">
        <f>_7C_GDPPC_year_PTvsWE[[#This Row],[Western Europe/GDP per capita]]-_7C_GDPPC_year_PTvsWE[[#This Row],[Focus/GDP per capita]]</f>
        <v>2636.5136333333003</v>
      </c>
      <c r="E14" t="str">
        <f>IF(_7C_GDPPC_year_PTvsWE[[#This Row],[Year]]=1900,"first",IF(_7C_GDPPC_year_PTvsWE[[#This Row],[Difference]]&gt;D13,"yes","no"))</f>
        <v>yes</v>
      </c>
      <c r="F14" s="2">
        <f>_7C_GDPPC_year_PTvsWE[[#This Row],[Focus/GDP per capita]]/_7C_GDPPC_year_PTvsWE[[#This Row],[Western Europe/GDP per capita]]</f>
        <v>0.43184874743283935</v>
      </c>
    </row>
    <row r="15" spans="1:6" x14ac:dyDescent="0.35">
      <c r="A15">
        <v>1913</v>
      </c>
      <c r="B15" s="1">
        <v>1992</v>
      </c>
      <c r="C15" s="1">
        <v>4493.4727999999996</v>
      </c>
      <c r="D15" s="1">
        <f>_7C_GDPPC_year_PTvsWE[[#This Row],[Western Europe/GDP per capita]]-_7C_GDPPC_year_PTvsWE[[#This Row],[Focus/GDP per capita]]</f>
        <v>2501.4727999999996</v>
      </c>
      <c r="E15" t="str">
        <f>IF(_7C_GDPPC_year_PTvsWE[[#This Row],[Year]]=1900,"first",IF(_7C_GDPPC_year_PTvsWE[[#This Row],[Difference]]&gt;D14,"yes","no"))</f>
        <v>no</v>
      </c>
      <c r="F15" s="2">
        <f>_7C_GDPPC_year_PTvsWE[[#This Row],[Focus/GDP per capita]]/_7C_GDPPC_year_PTvsWE[[#This Row],[Western Europe/GDP per capita]]</f>
        <v>0.44330968243537611</v>
      </c>
    </row>
    <row r="16" spans="1:6" x14ac:dyDescent="0.35">
      <c r="A16">
        <v>1914</v>
      </c>
      <c r="B16" s="1">
        <v>2005</v>
      </c>
      <c r="C16" s="1">
        <v>4245.6990999999998</v>
      </c>
      <c r="D16" s="1">
        <f>_7C_GDPPC_year_PTvsWE[[#This Row],[Western Europe/GDP per capita]]-_7C_GDPPC_year_PTvsWE[[#This Row],[Focus/GDP per capita]]</f>
        <v>2240.6990999999998</v>
      </c>
      <c r="E16" t="str">
        <f>IF(_7C_GDPPC_year_PTvsWE[[#This Row],[Year]]=1900,"first",IF(_7C_GDPPC_year_PTvsWE[[#This Row],[Difference]]&gt;D15,"yes","no"))</f>
        <v>no</v>
      </c>
      <c r="F16" s="2">
        <f>_7C_GDPPC_year_PTvsWE[[#This Row],[Focus/GDP per capita]]/_7C_GDPPC_year_PTvsWE[[#This Row],[Western Europe/GDP per capita]]</f>
        <v>0.47224260428629999</v>
      </c>
    </row>
    <row r="17" spans="1:6" x14ac:dyDescent="0.35">
      <c r="A17">
        <v>1915</v>
      </c>
      <c r="B17" s="1">
        <v>1957</v>
      </c>
      <c r="C17" s="1">
        <v>4063.4308666666998</v>
      </c>
      <c r="D17" s="1">
        <f>_7C_GDPPC_year_PTvsWE[[#This Row],[Western Europe/GDP per capita]]-_7C_GDPPC_year_PTvsWE[[#This Row],[Focus/GDP per capita]]</f>
        <v>2106.4308666666998</v>
      </c>
      <c r="E17" t="str">
        <f>IF(_7C_GDPPC_year_PTvsWE[[#This Row],[Year]]=1900,"first",IF(_7C_GDPPC_year_PTvsWE[[#This Row],[Difference]]&gt;D16,"yes","no"))</f>
        <v>no</v>
      </c>
      <c r="F17" s="2">
        <f>_7C_GDPPC_year_PTvsWE[[#This Row],[Focus/GDP per capita]]/_7C_GDPPC_year_PTvsWE[[#This Row],[Western Europe/GDP per capita]]</f>
        <v>0.48161272191284005</v>
      </c>
    </row>
    <row r="18" spans="1:6" x14ac:dyDescent="0.35">
      <c r="A18">
        <v>1916</v>
      </c>
      <c r="B18" s="1">
        <v>1967</v>
      </c>
      <c r="C18" s="1">
        <v>4210.8005333333003</v>
      </c>
      <c r="D18" s="1">
        <f>_7C_GDPPC_year_PTvsWE[[#This Row],[Western Europe/GDP per capita]]-_7C_GDPPC_year_PTvsWE[[#This Row],[Focus/GDP per capita]]</f>
        <v>2243.8005333333003</v>
      </c>
      <c r="E18" t="str">
        <f>IF(_7C_GDPPC_year_PTvsWE[[#This Row],[Year]]=1900,"first",IF(_7C_GDPPC_year_PTvsWE[[#This Row],[Difference]]&gt;D17,"yes","no"))</f>
        <v>yes</v>
      </c>
      <c r="F18" s="2">
        <f>_7C_GDPPC_year_PTvsWE[[#This Row],[Focus/GDP per capita]]/_7C_GDPPC_year_PTvsWE[[#This Row],[Western Europe/GDP per capita]]</f>
        <v>0.46713207724491962</v>
      </c>
    </row>
    <row r="19" spans="1:6" x14ac:dyDescent="0.35">
      <c r="A19">
        <v>1917</v>
      </c>
      <c r="B19" s="1">
        <v>1932</v>
      </c>
      <c r="C19" s="1">
        <v>3896.5296166666999</v>
      </c>
      <c r="D19" s="1">
        <f>_7C_GDPPC_year_PTvsWE[[#This Row],[Western Europe/GDP per capita]]-_7C_GDPPC_year_PTvsWE[[#This Row],[Focus/GDP per capita]]</f>
        <v>1964.5296166666999</v>
      </c>
      <c r="E19" t="str">
        <f>IF(_7C_GDPPC_year_PTvsWE[[#This Row],[Year]]=1900,"first",IF(_7C_GDPPC_year_PTvsWE[[#This Row],[Difference]]&gt;D18,"yes","no"))</f>
        <v>no</v>
      </c>
      <c r="F19" s="2">
        <f>_7C_GDPPC_year_PTvsWE[[#This Row],[Focus/GDP per capita]]/_7C_GDPPC_year_PTvsWE[[#This Row],[Western Europe/GDP per capita]]</f>
        <v>0.49582582196635178</v>
      </c>
    </row>
    <row r="20" spans="1:6" x14ac:dyDescent="0.35">
      <c r="A20">
        <v>1918</v>
      </c>
      <c r="B20" s="1">
        <v>1833</v>
      </c>
      <c r="C20" s="1">
        <v>3707.4351666666998</v>
      </c>
      <c r="D20" s="1">
        <f>_7C_GDPPC_year_PTvsWE[[#This Row],[Western Europe/GDP per capita]]-_7C_GDPPC_year_PTvsWE[[#This Row],[Focus/GDP per capita]]</f>
        <v>1874.4351666666998</v>
      </c>
      <c r="E20" t="str">
        <f>IF(_7C_GDPPC_year_PTvsWE[[#This Row],[Year]]=1900,"first",IF(_7C_GDPPC_year_PTvsWE[[#This Row],[Difference]]&gt;D19,"yes","no"))</f>
        <v>no</v>
      </c>
      <c r="F20" s="2">
        <f>_7C_GDPPC_year_PTvsWE[[#This Row],[Focus/GDP per capita]]/_7C_GDPPC_year_PTvsWE[[#This Row],[Western Europe/GDP per capita]]</f>
        <v>0.49441188250043577</v>
      </c>
    </row>
    <row r="21" spans="1:6" x14ac:dyDescent="0.35">
      <c r="A21">
        <v>1919</v>
      </c>
      <c r="B21" s="1">
        <v>1870</v>
      </c>
      <c r="C21" s="1">
        <v>3792.9727833333</v>
      </c>
      <c r="D21" s="1">
        <f>_7C_GDPPC_year_PTvsWE[[#This Row],[Western Europe/GDP per capita]]-_7C_GDPPC_year_PTvsWE[[#This Row],[Focus/GDP per capita]]</f>
        <v>1922.9727833333</v>
      </c>
      <c r="E21" t="str">
        <f>IF(_7C_GDPPC_year_PTvsWE[[#This Row],[Year]]=1900,"first",IF(_7C_GDPPC_year_PTvsWE[[#This Row],[Difference]]&gt;D20,"yes","no"))</f>
        <v>yes</v>
      </c>
      <c r="F21" s="2">
        <f>_7C_GDPPC_year_PTvsWE[[#This Row],[Focus/GDP per capita]]/_7C_GDPPC_year_PTvsWE[[#This Row],[Western Europe/GDP per capita]]</f>
        <v>0.49301698346399059</v>
      </c>
    </row>
    <row r="22" spans="1:6" x14ac:dyDescent="0.35">
      <c r="A22">
        <v>1920</v>
      </c>
      <c r="B22" s="1">
        <v>1959</v>
      </c>
      <c r="C22" s="1">
        <v>4204.7197666666998</v>
      </c>
      <c r="D22" s="1">
        <f>_7C_GDPPC_year_PTvsWE[[#This Row],[Western Europe/GDP per capita]]-_7C_GDPPC_year_PTvsWE[[#This Row],[Focus/GDP per capita]]</f>
        <v>2245.7197666666998</v>
      </c>
      <c r="E22" t="str">
        <f>IF(_7C_GDPPC_year_PTvsWE[[#This Row],[Year]]=1900,"first",IF(_7C_GDPPC_year_PTvsWE[[#This Row],[Difference]]&gt;D21,"yes","no"))</f>
        <v>yes</v>
      </c>
      <c r="F22" s="2">
        <f>_7C_GDPPC_year_PTvsWE[[#This Row],[Focus/GDP per capita]]/_7C_GDPPC_year_PTvsWE[[#This Row],[Western Europe/GDP per capita]]</f>
        <v>0.46590500882607006</v>
      </c>
    </row>
    <row r="23" spans="1:6" x14ac:dyDescent="0.35">
      <c r="A23">
        <v>1921</v>
      </c>
      <c r="B23" s="1">
        <v>2056</v>
      </c>
      <c r="C23" s="1">
        <v>4334.9791714286002</v>
      </c>
      <c r="D23" s="1">
        <f>_7C_GDPPC_year_PTvsWE[[#This Row],[Western Europe/GDP per capita]]-_7C_GDPPC_year_PTvsWE[[#This Row],[Focus/GDP per capita]]</f>
        <v>2278.9791714286002</v>
      </c>
      <c r="E23" t="str">
        <f>IF(_7C_GDPPC_year_PTvsWE[[#This Row],[Year]]=1900,"first",IF(_7C_GDPPC_year_PTvsWE[[#This Row],[Difference]]&gt;D22,"yes","no"))</f>
        <v>yes</v>
      </c>
      <c r="F23" s="2">
        <f>_7C_GDPPC_year_PTvsWE[[#This Row],[Focus/GDP per capita]]/_7C_GDPPC_year_PTvsWE[[#This Row],[Western Europe/GDP per capita]]</f>
        <v>0.47428140221546705</v>
      </c>
    </row>
    <row r="24" spans="1:6" x14ac:dyDescent="0.35">
      <c r="A24">
        <v>1922</v>
      </c>
      <c r="B24" s="1">
        <v>2279</v>
      </c>
      <c r="C24" s="1">
        <v>4674.1742142857001</v>
      </c>
      <c r="D24" s="1">
        <f>_7C_GDPPC_year_PTvsWE[[#This Row],[Western Europe/GDP per capita]]-_7C_GDPPC_year_PTvsWE[[#This Row],[Focus/GDP per capita]]</f>
        <v>2395.1742142857001</v>
      </c>
      <c r="E24" t="str">
        <f>IF(_7C_GDPPC_year_PTvsWE[[#This Row],[Year]]=1900,"first",IF(_7C_GDPPC_year_PTvsWE[[#This Row],[Difference]]&gt;D23,"yes","no"))</f>
        <v>yes</v>
      </c>
      <c r="F24" s="2">
        <f>_7C_GDPPC_year_PTvsWE[[#This Row],[Focus/GDP per capita]]/_7C_GDPPC_year_PTvsWE[[#This Row],[Western Europe/GDP per capita]]</f>
        <v>0.48757275521196491</v>
      </c>
    </row>
    <row r="25" spans="1:6" x14ac:dyDescent="0.35">
      <c r="A25">
        <v>1923</v>
      </c>
      <c r="B25" s="1">
        <v>2348</v>
      </c>
      <c r="C25" s="1">
        <v>4649.1208857143001</v>
      </c>
      <c r="D25" s="1">
        <f>_7C_GDPPC_year_PTvsWE[[#This Row],[Western Europe/GDP per capita]]-_7C_GDPPC_year_PTvsWE[[#This Row],[Focus/GDP per capita]]</f>
        <v>2301.1208857143001</v>
      </c>
      <c r="E25" t="str">
        <f>IF(_7C_GDPPC_year_PTvsWE[[#This Row],[Year]]=1900,"first",IF(_7C_GDPPC_year_PTvsWE[[#This Row],[Difference]]&gt;D24,"yes","no"))</f>
        <v>no</v>
      </c>
      <c r="F25" s="2">
        <f>_7C_GDPPC_year_PTvsWE[[#This Row],[Focus/GDP per capita]]/_7C_GDPPC_year_PTvsWE[[#This Row],[Western Europe/GDP per capita]]</f>
        <v>0.50504171814823628</v>
      </c>
    </row>
    <row r="26" spans="1:6" x14ac:dyDescent="0.35">
      <c r="A26">
        <v>1924</v>
      </c>
      <c r="B26" s="1">
        <v>2233</v>
      </c>
      <c r="C26" s="1">
        <v>4909.2609571429002</v>
      </c>
      <c r="D26" s="1">
        <f>_7C_GDPPC_year_PTvsWE[[#This Row],[Western Europe/GDP per capita]]-_7C_GDPPC_year_PTvsWE[[#This Row],[Focus/GDP per capita]]</f>
        <v>2676.2609571429002</v>
      </c>
      <c r="E26" t="str">
        <f>IF(_7C_GDPPC_year_PTvsWE[[#This Row],[Year]]=1900,"first",IF(_7C_GDPPC_year_PTvsWE[[#This Row],[Difference]]&gt;D25,"yes","no"))</f>
        <v>yes</v>
      </c>
      <c r="F26" s="2">
        <f>_7C_GDPPC_year_PTvsWE[[#This Row],[Focus/GDP per capita]]/_7C_GDPPC_year_PTvsWE[[#This Row],[Western Europe/GDP per capita]]</f>
        <v>0.45485461447125131</v>
      </c>
    </row>
    <row r="27" spans="1:6" x14ac:dyDescent="0.35">
      <c r="A27">
        <v>1925</v>
      </c>
      <c r="B27" s="1">
        <v>2305</v>
      </c>
      <c r="C27" s="1">
        <v>5074.4551428571003</v>
      </c>
      <c r="D27" s="1">
        <f>_7C_GDPPC_year_PTvsWE[[#This Row],[Western Europe/GDP per capita]]-_7C_GDPPC_year_PTvsWE[[#This Row],[Focus/GDP per capita]]</f>
        <v>2769.4551428571003</v>
      </c>
      <c r="E27" t="str">
        <f>IF(_7C_GDPPC_year_PTvsWE[[#This Row],[Year]]=1900,"first",IF(_7C_GDPPC_year_PTvsWE[[#This Row],[Difference]]&gt;D26,"yes","no"))</f>
        <v>yes</v>
      </c>
      <c r="F27" s="2">
        <f>_7C_GDPPC_year_PTvsWE[[#This Row],[Focus/GDP per capita]]/_7C_GDPPC_year_PTvsWE[[#This Row],[Western Europe/GDP per capita]]</f>
        <v>0.45423595935113581</v>
      </c>
    </row>
    <row r="28" spans="1:6" x14ac:dyDescent="0.35">
      <c r="A28">
        <v>1926</v>
      </c>
      <c r="B28" s="1">
        <v>2262</v>
      </c>
      <c r="C28" s="1">
        <v>5134.5122000000001</v>
      </c>
      <c r="D28" s="1">
        <f>_7C_GDPPC_year_PTvsWE[[#This Row],[Western Europe/GDP per capita]]-_7C_GDPPC_year_PTvsWE[[#This Row],[Focus/GDP per capita]]</f>
        <v>2872.5122000000001</v>
      </c>
      <c r="E28" t="str">
        <f>IF(_7C_GDPPC_year_PTvsWE[[#This Row],[Year]]=1900,"first",IF(_7C_GDPPC_year_PTvsWE[[#This Row],[Difference]]&gt;D27,"yes","no"))</f>
        <v>yes</v>
      </c>
      <c r="F28" s="2">
        <f>_7C_GDPPC_year_PTvsWE[[#This Row],[Focus/GDP per capita]]/_7C_GDPPC_year_PTvsWE[[#This Row],[Western Europe/GDP per capita]]</f>
        <v>0.44054817904610294</v>
      </c>
    </row>
    <row r="29" spans="1:6" x14ac:dyDescent="0.35">
      <c r="A29">
        <v>1927</v>
      </c>
      <c r="B29" s="1">
        <v>2627</v>
      </c>
      <c r="C29" s="1">
        <v>5275.1682142856998</v>
      </c>
      <c r="D29" s="1">
        <f>_7C_GDPPC_year_PTvsWE[[#This Row],[Western Europe/GDP per capita]]-_7C_GDPPC_year_PTvsWE[[#This Row],[Focus/GDP per capita]]</f>
        <v>2648.1682142856998</v>
      </c>
      <c r="E29" t="str">
        <f>IF(_7C_GDPPC_year_PTvsWE[[#This Row],[Year]]=1900,"first",IF(_7C_GDPPC_year_PTvsWE[[#This Row],[Difference]]&gt;D28,"yes","no"))</f>
        <v>no</v>
      </c>
      <c r="F29" s="2">
        <f>_7C_GDPPC_year_PTvsWE[[#This Row],[Focus/GDP per capita]]/_7C_GDPPC_year_PTvsWE[[#This Row],[Western Europe/GDP per capita]]</f>
        <v>0.49799359817300476</v>
      </c>
    </row>
    <row r="30" spans="1:6" x14ac:dyDescent="0.35">
      <c r="A30">
        <v>1928</v>
      </c>
      <c r="B30" s="1">
        <v>2343</v>
      </c>
      <c r="C30" s="1">
        <v>5470.2621428571001</v>
      </c>
      <c r="D30" s="1">
        <f>_7C_GDPPC_year_PTvsWE[[#This Row],[Western Europe/GDP per capita]]-_7C_GDPPC_year_PTvsWE[[#This Row],[Focus/GDP per capita]]</f>
        <v>3127.2621428571001</v>
      </c>
      <c r="E30" t="str">
        <f>IF(_7C_GDPPC_year_PTvsWE[[#This Row],[Year]]=1900,"first",IF(_7C_GDPPC_year_PTvsWE[[#This Row],[Difference]]&gt;D29,"yes","no"))</f>
        <v>yes</v>
      </c>
      <c r="F30" s="2">
        <f>_7C_GDPPC_year_PTvsWE[[#This Row],[Focus/GDP per capita]]/_7C_GDPPC_year_PTvsWE[[#This Row],[Western Europe/GDP per capita]]</f>
        <v>0.42831585375838288</v>
      </c>
    </row>
    <row r="31" spans="1:6" x14ac:dyDescent="0.35">
      <c r="A31">
        <v>1929</v>
      </c>
      <c r="B31" s="1">
        <v>2566</v>
      </c>
      <c r="C31" s="1">
        <v>5616.0742857142995</v>
      </c>
      <c r="D31" s="1">
        <f>_7C_GDPPC_year_PTvsWE[[#This Row],[Western Europe/GDP per capita]]-_7C_GDPPC_year_PTvsWE[[#This Row],[Focus/GDP per capita]]</f>
        <v>3050.0742857142995</v>
      </c>
      <c r="E31" t="str">
        <f>IF(_7C_GDPPC_year_PTvsWE[[#This Row],[Year]]=1900,"first",IF(_7C_GDPPC_year_PTvsWE[[#This Row],[Difference]]&gt;D30,"yes","no"))</f>
        <v>no</v>
      </c>
      <c r="F31" s="2">
        <f>_7C_GDPPC_year_PTvsWE[[#This Row],[Focus/GDP per capita]]/_7C_GDPPC_year_PTvsWE[[#This Row],[Western Europe/GDP per capita]]</f>
        <v>0.45690278822115588</v>
      </c>
    </row>
    <row r="32" spans="1:6" x14ac:dyDescent="0.35">
      <c r="A32">
        <v>1930</v>
      </c>
      <c r="B32" s="1">
        <v>2504</v>
      </c>
      <c r="C32" s="1">
        <v>5465.6090285713999</v>
      </c>
      <c r="D32" s="1">
        <f>_7C_GDPPC_year_PTvsWE[[#This Row],[Western Europe/GDP per capita]]-_7C_GDPPC_year_PTvsWE[[#This Row],[Focus/GDP per capita]]</f>
        <v>2961.6090285713999</v>
      </c>
      <c r="E32" t="str">
        <f>IF(_7C_GDPPC_year_PTvsWE[[#This Row],[Year]]=1900,"first",IF(_7C_GDPPC_year_PTvsWE[[#This Row],[Difference]]&gt;D31,"yes","no"))</f>
        <v>no</v>
      </c>
      <c r="F32" s="2">
        <f>_7C_GDPPC_year_PTvsWE[[#This Row],[Focus/GDP per capita]]/_7C_GDPPC_year_PTvsWE[[#This Row],[Western Europe/GDP per capita]]</f>
        <v>0.45813741650937206</v>
      </c>
    </row>
    <row r="33" spans="1:6" x14ac:dyDescent="0.35">
      <c r="A33">
        <v>1931</v>
      </c>
      <c r="B33" s="1">
        <v>2600</v>
      </c>
      <c r="C33" s="1">
        <v>5253.9912142857002</v>
      </c>
      <c r="D33" s="1">
        <f>_7C_GDPPC_year_PTvsWE[[#This Row],[Western Europe/GDP per capita]]-_7C_GDPPC_year_PTvsWE[[#This Row],[Focus/GDP per capita]]</f>
        <v>2653.9912142857002</v>
      </c>
      <c r="E33" t="str">
        <f>IF(_7C_GDPPC_year_PTvsWE[[#This Row],[Year]]=1900,"first",IF(_7C_GDPPC_year_PTvsWE[[#This Row],[Difference]]&gt;D32,"yes","no"))</f>
        <v>no</v>
      </c>
      <c r="F33" s="2">
        <f>_7C_GDPPC_year_PTvsWE[[#This Row],[Focus/GDP per capita]]/_7C_GDPPC_year_PTvsWE[[#This Row],[Western Europe/GDP per capita]]</f>
        <v>0.49486188574707768</v>
      </c>
    </row>
    <row r="34" spans="1:6" x14ac:dyDescent="0.35">
      <c r="A34">
        <v>1932</v>
      </c>
      <c r="B34" s="1">
        <v>2619</v>
      </c>
      <c r="C34" s="1">
        <v>5102.0048571428997</v>
      </c>
      <c r="D34" s="1">
        <f>_7C_GDPPC_year_PTvsWE[[#This Row],[Western Europe/GDP per capita]]-_7C_GDPPC_year_PTvsWE[[#This Row],[Focus/GDP per capita]]</f>
        <v>2483.0048571428997</v>
      </c>
      <c r="E34" t="str">
        <f>IF(_7C_GDPPC_year_PTvsWE[[#This Row],[Year]]=1900,"first",IF(_7C_GDPPC_year_PTvsWE[[#This Row],[Difference]]&gt;D33,"yes","no"))</f>
        <v>no</v>
      </c>
      <c r="F34" s="2">
        <f>_7C_GDPPC_year_PTvsWE[[#This Row],[Focus/GDP per capita]]/_7C_GDPPC_year_PTvsWE[[#This Row],[Western Europe/GDP per capita]]</f>
        <v>0.51332761793304693</v>
      </c>
    </row>
    <row r="35" spans="1:6" x14ac:dyDescent="0.35">
      <c r="A35">
        <v>1933</v>
      </c>
      <c r="B35" s="1">
        <v>2761</v>
      </c>
      <c r="C35" s="1">
        <v>5195.2508571428998</v>
      </c>
      <c r="D35" s="1">
        <f>_7C_GDPPC_year_PTvsWE[[#This Row],[Western Europe/GDP per capita]]-_7C_GDPPC_year_PTvsWE[[#This Row],[Focus/GDP per capita]]</f>
        <v>2434.2508571428998</v>
      </c>
      <c r="E35" t="str">
        <f>IF(_7C_GDPPC_year_PTvsWE[[#This Row],[Year]]=1900,"first",IF(_7C_GDPPC_year_PTvsWE[[#This Row],[Difference]]&gt;D34,"yes","no"))</f>
        <v>no</v>
      </c>
      <c r="F35" s="2">
        <f>_7C_GDPPC_year_PTvsWE[[#This Row],[Focus/GDP per capita]]/_7C_GDPPC_year_PTvsWE[[#This Row],[Western Europe/GDP per capita]]</f>
        <v>0.53144690716982956</v>
      </c>
    </row>
    <row r="36" spans="1:6" x14ac:dyDescent="0.35">
      <c r="A36">
        <v>1934</v>
      </c>
      <c r="B36" s="1">
        <v>2844</v>
      </c>
      <c r="C36" s="1">
        <v>5270.6912000000002</v>
      </c>
      <c r="D36" s="1">
        <f>_7C_GDPPC_year_PTvsWE[[#This Row],[Western Europe/GDP per capita]]-_7C_GDPPC_year_PTvsWE[[#This Row],[Focus/GDP per capita]]</f>
        <v>2426.6912000000002</v>
      </c>
      <c r="E36" t="str">
        <f>IF(_7C_GDPPC_year_PTvsWE[[#This Row],[Year]]=1900,"first",IF(_7C_GDPPC_year_PTvsWE[[#This Row],[Difference]]&gt;D35,"yes","no"))</f>
        <v>no</v>
      </c>
      <c r="F36" s="2">
        <f>_7C_GDPPC_year_PTvsWE[[#This Row],[Focus/GDP per capita]]/_7C_GDPPC_year_PTvsWE[[#This Row],[Western Europe/GDP per capita]]</f>
        <v>0.53958767305510136</v>
      </c>
    </row>
    <row r="37" spans="1:6" x14ac:dyDescent="0.35">
      <c r="A37">
        <v>1935</v>
      </c>
      <c r="B37" s="1">
        <v>2660</v>
      </c>
      <c r="C37" s="1">
        <v>5433.4737714286002</v>
      </c>
      <c r="D37" s="1">
        <f>_7C_GDPPC_year_PTvsWE[[#This Row],[Western Europe/GDP per capita]]-_7C_GDPPC_year_PTvsWE[[#This Row],[Focus/GDP per capita]]</f>
        <v>2773.4737714286002</v>
      </c>
      <c r="E37" t="str">
        <f>IF(_7C_GDPPC_year_PTvsWE[[#This Row],[Year]]=1900,"first",IF(_7C_GDPPC_year_PTvsWE[[#This Row],[Difference]]&gt;D36,"yes","no"))</f>
        <v>yes</v>
      </c>
      <c r="F37" s="2">
        <f>_7C_GDPPC_year_PTvsWE[[#This Row],[Focus/GDP per capita]]/_7C_GDPPC_year_PTvsWE[[#This Row],[Western Europe/GDP per capita]]</f>
        <v>0.48955789829838775</v>
      </c>
    </row>
    <row r="38" spans="1:6" x14ac:dyDescent="0.35">
      <c r="A38">
        <v>1936</v>
      </c>
      <c r="B38" s="1">
        <v>2428</v>
      </c>
      <c r="C38" s="1">
        <v>5401.7313428570997</v>
      </c>
      <c r="D38" s="1">
        <f>_7C_GDPPC_year_PTvsWE[[#This Row],[Western Europe/GDP per capita]]-_7C_GDPPC_year_PTvsWE[[#This Row],[Focus/GDP per capita]]</f>
        <v>2973.7313428570997</v>
      </c>
      <c r="E38" t="str">
        <f>IF(_7C_GDPPC_year_PTvsWE[[#This Row],[Year]]=1900,"first",IF(_7C_GDPPC_year_PTvsWE[[#This Row],[Difference]]&gt;D37,"yes","no"))</f>
        <v>yes</v>
      </c>
      <c r="F38" s="2">
        <f>_7C_GDPPC_year_PTvsWE[[#This Row],[Focus/GDP per capita]]/_7C_GDPPC_year_PTvsWE[[#This Row],[Western Europe/GDP per capita]]</f>
        <v>0.44948551601157105</v>
      </c>
    </row>
    <row r="39" spans="1:6" x14ac:dyDescent="0.35">
      <c r="A39">
        <v>1937</v>
      </c>
      <c r="B39" s="1">
        <v>2801</v>
      </c>
      <c r="C39" s="1">
        <v>5597.7309999999998</v>
      </c>
      <c r="D39" s="1">
        <f>_7C_GDPPC_year_PTvsWE[[#This Row],[Western Europe/GDP per capita]]-_7C_GDPPC_year_PTvsWE[[#This Row],[Focus/GDP per capita]]</f>
        <v>2796.7309999999998</v>
      </c>
      <c r="E39" t="str">
        <f>IF(_7C_GDPPC_year_PTvsWE[[#This Row],[Year]]=1900,"first",IF(_7C_GDPPC_year_PTvsWE[[#This Row],[Difference]]&gt;D38,"yes","no"))</f>
        <v>no</v>
      </c>
      <c r="F39" s="2">
        <f>_7C_GDPPC_year_PTvsWE[[#This Row],[Focus/GDP per capita]]/_7C_GDPPC_year_PTvsWE[[#This Row],[Western Europe/GDP per capita]]</f>
        <v>0.50038131521503981</v>
      </c>
    </row>
    <row r="40" spans="1:6" x14ac:dyDescent="0.35">
      <c r="A40">
        <v>1938</v>
      </c>
      <c r="B40" s="1">
        <v>2785</v>
      </c>
      <c r="C40" s="1">
        <v>5646.6501857143003</v>
      </c>
      <c r="D40" s="1">
        <f>_7C_GDPPC_year_PTvsWE[[#This Row],[Western Europe/GDP per capita]]-_7C_GDPPC_year_PTvsWE[[#This Row],[Focus/GDP per capita]]</f>
        <v>2861.6501857143003</v>
      </c>
      <c r="E40" t="str">
        <f>IF(_7C_GDPPC_year_PTvsWE[[#This Row],[Year]]=1900,"first",IF(_7C_GDPPC_year_PTvsWE[[#This Row],[Difference]]&gt;D39,"yes","no"))</f>
        <v>yes</v>
      </c>
      <c r="F40" s="2">
        <f>_7C_GDPPC_year_PTvsWE[[#This Row],[Focus/GDP per capita]]/_7C_GDPPC_year_PTvsWE[[#This Row],[Western Europe/GDP per capita]]</f>
        <v>0.49321277366285049</v>
      </c>
    </row>
    <row r="41" spans="1:6" x14ac:dyDescent="0.35">
      <c r="A41">
        <v>1939</v>
      </c>
      <c r="B41" s="1">
        <v>2788</v>
      </c>
      <c r="C41" s="1">
        <v>5951.9111000000003</v>
      </c>
      <c r="D41" s="1">
        <f>_7C_GDPPC_year_PTvsWE[[#This Row],[Western Europe/GDP per capita]]-_7C_GDPPC_year_PTvsWE[[#This Row],[Focus/GDP per capita]]</f>
        <v>3163.9111000000003</v>
      </c>
      <c r="E41" t="str">
        <f>IF(_7C_GDPPC_year_PTvsWE[[#This Row],[Year]]=1900,"first",IF(_7C_GDPPC_year_PTvsWE[[#This Row],[Difference]]&gt;D40,"yes","no"))</f>
        <v>yes</v>
      </c>
      <c r="F41" s="2">
        <f>_7C_GDPPC_year_PTvsWE[[#This Row],[Focus/GDP per capita]]/_7C_GDPPC_year_PTvsWE[[#This Row],[Western Europe/GDP per capita]]</f>
        <v>0.46842097490333817</v>
      </c>
    </row>
    <row r="42" spans="1:6" x14ac:dyDescent="0.35">
      <c r="A42">
        <v>1940</v>
      </c>
      <c r="B42" s="1">
        <v>2574</v>
      </c>
      <c r="C42" s="1">
        <v>5571.5665142856997</v>
      </c>
      <c r="D42" s="1">
        <f>_7C_GDPPC_year_PTvsWE[[#This Row],[Western Europe/GDP per capita]]-_7C_GDPPC_year_PTvsWE[[#This Row],[Focus/GDP per capita]]</f>
        <v>2997.5665142856997</v>
      </c>
      <c r="E42" t="str">
        <f>IF(_7C_GDPPC_year_PTvsWE[[#This Row],[Year]]=1900,"first",IF(_7C_GDPPC_year_PTvsWE[[#This Row],[Difference]]&gt;D41,"yes","no"))</f>
        <v>no</v>
      </c>
      <c r="F42" s="2">
        <f>_7C_GDPPC_year_PTvsWE[[#This Row],[Focus/GDP per capita]]/_7C_GDPPC_year_PTvsWE[[#This Row],[Western Europe/GDP per capita]]</f>
        <v>0.46198856163704949</v>
      </c>
    </row>
    <row r="43" spans="1:6" x14ac:dyDescent="0.35">
      <c r="A43">
        <v>1941</v>
      </c>
      <c r="B43" s="1">
        <v>2785</v>
      </c>
      <c r="C43" s="1">
        <v>5332.9005999999999</v>
      </c>
      <c r="D43" s="1">
        <f>_7C_GDPPC_year_PTvsWE[[#This Row],[Western Europe/GDP per capita]]-_7C_GDPPC_year_PTvsWE[[#This Row],[Focus/GDP per capita]]</f>
        <v>2547.9005999999999</v>
      </c>
      <c r="E43" t="str">
        <f>IF(_7C_GDPPC_year_PTvsWE[[#This Row],[Year]]=1900,"first",IF(_7C_GDPPC_year_PTvsWE[[#This Row],[Difference]]&gt;D42,"yes","no"))</f>
        <v>no</v>
      </c>
      <c r="F43" s="2">
        <f>_7C_GDPPC_year_PTvsWE[[#This Row],[Focus/GDP per capita]]/_7C_GDPPC_year_PTvsWE[[#This Row],[Western Europe/GDP per capita]]</f>
        <v>0.52222987242627394</v>
      </c>
    </row>
    <row r="44" spans="1:6" x14ac:dyDescent="0.35">
      <c r="A44">
        <v>1942</v>
      </c>
      <c r="B44" s="1">
        <v>2723</v>
      </c>
      <c r="C44" s="1">
        <v>5100.5829714286001</v>
      </c>
      <c r="D44" s="1">
        <f>_7C_GDPPC_year_PTvsWE[[#This Row],[Western Europe/GDP per capita]]-_7C_GDPPC_year_PTvsWE[[#This Row],[Focus/GDP per capita]]</f>
        <v>2377.5829714286001</v>
      </c>
      <c r="E44" t="str">
        <f>IF(_7C_GDPPC_year_PTvsWE[[#This Row],[Year]]=1900,"first",IF(_7C_GDPPC_year_PTvsWE[[#This Row],[Difference]]&gt;D43,"yes","no"))</f>
        <v>no</v>
      </c>
      <c r="F44" s="2">
        <f>_7C_GDPPC_year_PTvsWE[[#This Row],[Focus/GDP per capita]]/_7C_GDPPC_year_PTvsWE[[#This Row],[Western Europe/GDP per capita]]</f>
        <v>0.53386054403058303</v>
      </c>
    </row>
    <row r="45" spans="1:6" x14ac:dyDescent="0.35">
      <c r="A45">
        <v>1943</v>
      </c>
      <c r="B45" s="1">
        <v>2879</v>
      </c>
      <c r="C45" s="1">
        <v>4947.6572285714001</v>
      </c>
      <c r="D45" s="1">
        <f>_7C_GDPPC_year_PTvsWE[[#This Row],[Western Europe/GDP per capita]]-_7C_GDPPC_year_PTvsWE[[#This Row],[Focus/GDP per capita]]</f>
        <v>2068.6572285714001</v>
      </c>
      <c r="E45" t="str">
        <f>IF(_7C_GDPPC_year_PTvsWE[[#This Row],[Year]]=1900,"first",IF(_7C_GDPPC_year_PTvsWE[[#This Row],[Difference]]&gt;D44,"yes","no"))</f>
        <v>no</v>
      </c>
      <c r="F45" s="2">
        <f>_7C_GDPPC_year_PTvsWE[[#This Row],[Focus/GDP per capita]]/_7C_GDPPC_year_PTvsWE[[#This Row],[Western Europe/GDP per capita]]</f>
        <v>0.58189156342006543</v>
      </c>
    </row>
    <row r="46" spans="1:6" x14ac:dyDescent="0.35">
      <c r="A46">
        <v>1944</v>
      </c>
      <c r="B46" s="1">
        <v>3017</v>
      </c>
      <c r="C46" s="1">
        <v>4798.5491714285999</v>
      </c>
      <c r="D46" s="1">
        <f>_7C_GDPPC_year_PTvsWE[[#This Row],[Western Europe/GDP per capita]]-_7C_GDPPC_year_PTvsWE[[#This Row],[Focus/GDP per capita]]</f>
        <v>1781.5491714285999</v>
      </c>
      <c r="E46" t="str">
        <f>IF(_7C_GDPPC_year_PTvsWE[[#This Row],[Year]]=1900,"first",IF(_7C_GDPPC_year_PTvsWE[[#This Row],[Difference]]&gt;D45,"yes","no"))</f>
        <v>no</v>
      </c>
      <c r="F46" s="2">
        <f>_7C_GDPPC_year_PTvsWE[[#This Row],[Focus/GDP per capita]]/_7C_GDPPC_year_PTvsWE[[#This Row],[Western Europe/GDP per capita]]</f>
        <v>0.62873170456681893</v>
      </c>
    </row>
    <row r="47" spans="1:6" x14ac:dyDescent="0.35">
      <c r="A47">
        <v>1945</v>
      </c>
      <c r="B47" s="1">
        <v>2876</v>
      </c>
      <c r="C47" s="1">
        <v>4384.8470285714002</v>
      </c>
      <c r="D47" s="1">
        <f>_7C_GDPPC_year_PTvsWE[[#This Row],[Western Europe/GDP per capita]]-_7C_GDPPC_year_PTvsWE[[#This Row],[Focus/GDP per capita]]</f>
        <v>1508.8470285714002</v>
      </c>
      <c r="E47" t="str">
        <f>IF(_7C_GDPPC_year_PTvsWE[[#This Row],[Year]]=1900,"first",IF(_7C_GDPPC_year_PTvsWE[[#This Row],[Difference]]&gt;D46,"yes","no"))</f>
        <v>no</v>
      </c>
      <c r="F47" s="2">
        <f>_7C_GDPPC_year_PTvsWE[[#This Row],[Focus/GDP per capita]]/_7C_GDPPC_year_PTvsWE[[#This Row],[Western Europe/GDP per capita]]</f>
        <v>0.65589517291256838</v>
      </c>
    </row>
    <row r="48" spans="1:6" x14ac:dyDescent="0.35">
      <c r="A48">
        <v>1946</v>
      </c>
      <c r="B48" s="1">
        <v>3073</v>
      </c>
      <c r="C48" s="1">
        <v>4473.8861571428997</v>
      </c>
      <c r="D48" s="1">
        <f>_7C_GDPPC_year_PTvsWE[[#This Row],[Western Europe/GDP per capita]]-_7C_GDPPC_year_PTvsWE[[#This Row],[Focus/GDP per capita]]</f>
        <v>1400.8861571428997</v>
      </c>
      <c r="E48" t="str">
        <f>IF(_7C_GDPPC_year_PTvsWE[[#This Row],[Year]]=1900,"first",IF(_7C_GDPPC_year_PTvsWE[[#This Row],[Difference]]&gt;D47,"yes","no"))</f>
        <v>no</v>
      </c>
      <c r="F48" s="2">
        <f>_7C_GDPPC_year_PTvsWE[[#This Row],[Focus/GDP per capita]]/_7C_GDPPC_year_PTvsWE[[#This Row],[Western Europe/GDP per capita]]</f>
        <v>0.68687487612837927</v>
      </c>
    </row>
    <row r="49" spans="1:6" x14ac:dyDescent="0.35">
      <c r="A49">
        <v>1947</v>
      </c>
      <c r="B49" s="1">
        <v>3301</v>
      </c>
      <c r="C49" s="1">
        <v>4839.4398000000001</v>
      </c>
      <c r="D49" s="1">
        <f>_7C_GDPPC_year_PTvsWE[[#This Row],[Western Europe/GDP per capita]]-_7C_GDPPC_year_PTvsWE[[#This Row],[Focus/GDP per capita]]</f>
        <v>1538.4398000000001</v>
      </c>
      <c r="E49" t="str">
        <f>IF(_7C_GDPPC_year_PTvsWE[[#This Row],[Year]]=1900,"first",IF(_7C_GDPPC_year_PTvsWE[[#This Row],[Difference]]&gt;D48,"yes","no"))</f>
        <v>yes</v>
      </c>
      <c r="F49" s="2">
        <f>_7C_GDPPC_year_PTvsWE[[#This Row],[Focus/GDP per capita]]/_7C_GDPPC_year_PTvsWE[[#This Row],[Western Europe/GDP per capita]]</f>
        <v>0.68210374266872786</v>
      </c>
    </row>
    <row r="50" spans="1:6" x14ac:dyDescent="0.35">
      <c r="A50">
        <v>1948</v>
      </c>
      <c r="B50" s="1">
        <v>3261</v>
      </c>
      <c r="C50" s="1">
        <v>5118.5603428571003</v>
      </c>
      <c r="D50" s="1">
        <f>_7C_GDPPC_year_PTvsWE[[#This Row],[Western Europe/GDP per capita]]-_7C_GDPPC_year_PTvsWE[[#This Row],[Focus/GDP per capita]]</f>
        <v>1857.5603428571003</v>
      </c>
      <c r="E50" t="str">
        <f>IF(_7C_GDPPC_year_PTvsWE[[#This Row],[Year]]=1900,"first",IF(_7C_GDPPC_year_PTvsWE[[#This Row],[Difference]]&gt;D49,"yes","no"))</f>
        <v>yes</v>
      </c>
      <c r="F50" s="2">
        <f>_7C_GDPPC_year_PTvsWE[[#This Row],[Focus/GDP per capita]]/_7C_GDPPC_year_PTvsWE[[#This Row],[Western Europe/GDP per capita]]</f>
        <v>0.63709320230066113</v>
      </c>
    </row>
    <row r="51" spans="1:6" x14ac:dyDescent="0.35">
      <c r="A51">
        <v>1949</v>
      </c>
      <c r="B51" s="1">
        <v>3279</v>
      </c>
      <c r="C51" s="1">
        <v>5488.1005714286002</v>
      </c>
      <c r="D51" s="1">
        <f>_7C_GDPPC_year_PTvsWE[[#This Row],[Western Europe/GDP per capita]]-_7C_GDPPC_year_PTvsWE[[#This Row],[Focus/GDP per capita]]</f>
        <v>2209.1005714286002</v>
      </c>
      <c r="E51" t="str">
        <f>IF(_7C_GDPPC_year_PTvsWE[[#This Row],[Year]]=1900,"first",IF(_7C_GDPPC_year_PTvsWE[[#This Row],[Difference]]&gt;D50,"yes","no"))</f>
        <v>yes</v>
      </c>
      <c r="F51" s="2">
        <f>_7C_GDPPC_year_PTvsWE[[#This Row],[Focus/GDP per capita]]/_7C_GDPPC_year_PTvsWE[[#This Row],[Western Europe/GDP per capita]]</f>
        <v>0.59747447360397909</v>
      </c>
    </row>
    <row r="52" spans="1:6" x14ac:dyDescent="0.35">
      <c r="A52">
        <v>1950</v>
      </c>
      <c r="B52" s="1">
        <v>3325</v>
      </c>
      <c r="C52" s="1">
        <v>5822.2057428570997</v>
      </c>
      <c r="D52" s="1">
        <f>_7C_GDPPC_year_PTvsWE[[#This Row],[Western Europe/GDP per capita]]-_7C_GDPPC_year_PTvsWE[[#This Row],[Focus/GDP per capita]]</f>
        <v>2497.2057428570997</v>
      </c>
      <c r="E52" t="str">
        <f>IF(_7C_GDPPC_year_PTvsWE[[#This Row],[Year]]=1900,"first",IF(_7C_GDPPC_year_PTvsWE[[#This Row],[Difference]]&gt;D51,"yes","no"))</f>
        <v>yes</v>
      </c>
      <c r="F52" s="2">
        <f>_7C_GDPPC_year_PTvsWE[[#This Row],[Focus/GDP per capita]]/_7C_GDPPC_year_PTvsWE[[#This Row],[Western Europe/GDP per capita]]</f>
        <v>0.57108940268544006</v>
      </c>
    </row>
    <row r="53" spans="1:6" x14ac:dyDescent="0.35">
      <c r="A53">
        <v>1951</v>
      </c>
      <c r="B53" s="1">
        <v>3456</v>
      </c>
      <c r="C53" s="1">
        <v>6178.5655999999999</v>
      </c>
      <c r="D53" s="1">
        <f>_7C_GDPPC_year_PTvsWE[[#This Row],[Western Europe/GDP per capita]]-_7C_GDPPC_year_PTvsWE[[#This Row],[Focus/GDP per capita]]</f>
        <v>2722.5655999999999</v>
      </c>
      <c r="E53" t="str">
        <f>IF(_7C_GDPPC_year_PTvsWE[[#This Row],[Year]]=1900,"first",IF(_7C_GDPPC_year_PTvsWE[[#This Row],[Difference]]&gt;D52,"yes","no"))</f>
        <v>yes</v>
      </c>
      <c r="F53" s="2">
        <f>_7C_GDPPC_year_PTvsWE[[#This Row],[Focus/GDP per capita]]/_7C_GDPPC_year_PTvsWE[[#This Row],[Western Europe/GDP per capita]]</f>
        <v>0.55935312882329846</v>
      </c>
    </row>
    <row r="54" spans="1:6" x14ac:dyDescent="0.35">
      <c r="A54">
        <v>1952</v>
      </c>
      <c r="B54" s="1">
        <v>3445</v>
      </c>
      <c r="C54" s="1">
        <v>6386.9142000000002</v>
      </c>
      <c r="D54" s="1">
        <f>_7C_GDPPC_year_PTvsWE[[#This Row],[Western Europe/GDP per capita]]-_7C_GDPPC_year_PTvsWE[[#This Row],[Focus/GDP per capita]]</f>
        <v>2941.9142000000002</v>
      </c>
      <c r="E54" t="str">
        <f>IF(_7C_GDPPC_year_PTvsWE[[#This Row],[Year]]=1900,"first",IF(_7C_GDPPC_year_PTvsWE[[#This Row],[Difference]]&gt;D53,"yes","no"))</f>
        <v>yes</v>
      </c>
      <c r="F54" s="2">
        <f>_7C_GDPPC_year_PTvsWE[[#This Row],[Focus/GDP per capita]]/_7C_GDPPC_year_PTvsWE[[#This Row],[Western Europe/GDP per capita]]</f>
        <v>0.53938410508160572</v>
      </c>
    </row>
    <row r="55" spans="1:6" x14ac:dyDescent="0.35">
      <c r="A55">
        <v>1953</v>
      </c>
      <c r="B55" s="1">
        <v>3663</v>
      </c>
      <c r="C55" s="1">
        <v>6665.4024857143004</v>
      </c>
      <c r="D55" s="1">
        <f>_7C_GDPPC_year_PTvsWE[[#This Row],[Western Europe/GDP per capita]]-_7C_GDPPC_year_PTvsWE[[#This Row],[Focus/GDP per capita]]</f>
        <v>3002.4024857143004</v>
      </c>
      <c r="E55" t="str">
        <f>IF(_7C_GDPPC_year_PTvsWE[[#This Row],[Year]]=1900,"first",IF(_7C_GDPPC_year_PTvsWE[[#This Row],[Difference]]&gt;D54,"yes","no"))</f>
        <v>yes</v>
      </c>
      <c r="F55" s="2">
        <f>_7C_GDPPC_year_PTvsWE[[#This Row],[Focus/GDP per capita]]/_7C_GDPPC_year_PTvsWE[[#This Row],[Western Europe/GDP per capita]]</f>
        <v>0.54955421039476104</v>
      </c>
    </row>
    <row r="56" spans="1:6" x14ac:dyDescent="0.35">
      <c r="A56">
        <v>1954</v>
      </c>
      <c r="B56" s="1">
        <v>3814</v>
      </c>
      <c r="C56" s="1">
        <v>6946.1445714286001</v>
      </c>
      <c r="D56" s="1">
        <f>_7C_GDPPC_year_PTvsWE[[#This Row],[Western Europe/GDP per capita]]-_7C_GDPPC_year_PTvsWE[[#This Row],[Focus/GDP per capita]]</f>
        <v>3132.1445714286001</v>
      </c>
      <c r="E56" t="str">
        <f>IF(_7C_GDPPC_year_PTvsWE[[#This Row],[Year]]=1900,"first",IF(_7C_GDPPC_year_PTvsWE[[#This Row],[Difference]]&gt;D55,"yes","no"))</f>
        <v>yes</v>
      </c>
      <c r="F56" s="2">
        <f>_7C_GDPPC_year_PTvsWE[[#This Row],[Focus/GDP per capita]]/_7C_GDPPC_year_PTvsWE[[#This Row],[Western Europe/GDP per capita]]</f>
        <v>0.5490815747901403</v>
      </c>
    </row>
    <row r="57" spans="1:6" x14ac:dyDescent="0.35">
      <c r="A57">
        <v>1955</v>
      </c>
      <c r="B57" s="1">
        <v>3945</v>
      </c>
      <c r="C57" s="1">
        <v>7325.1054285713999</v>
      </c>
      <c r="D57" s="1">
        <f>_7C_GDPPC_year_PTvsWE[[#This Row],[Western Europe/GDP per capita]]-_7C_GDPPC_year_PTvsWE[[#This Row],[Focus/GDP per capita]]</f>
        <v>3380.1054285713999</v>
      </c>
      <c r="E57" t="str">
        <f>IF(_7C_GDPPC_year_PTvsWE[[#This Row],[Year]]=1900,"first",IF(_7C_GDPPC_year_PTvsWE[[#This Row],[Difference]]&gt;D56,"yes","no"))</f>
        <v>yes</v>
      </c>
      <c r="F57" s="2">
        <f>_7C_GDPPC_year_PTvsWE[[#This Row],[Focus/GDP per capita]]/_7C_GDPPC_year_PTvsWE[[#This Row],[Western Europe/GDP per capita]]</f>
        <v>0.53855880143548807</v>
      </c>
    </row>
    <row r="58" spans="1:6" x14ac:dyDescent="0.35">
      <c r="A58">
        <v>1956</v>
      </c>
      <c r="B58" s="1">
        <v>4087</v>
      </c>
      <c r="C58" s="1">
        <v>7627.8517714285999</v>
      </c>
      <c r="D58" s="1">
        <f>_7C_GDPPC_year_PTvsWE[[#This Row],[Western Europe/GDP per capita]]-_7C_GDPPC_year_PTvsWE[[#This Row],[Focus/GDP per capita]]</f>
        <v>3540.8517714285999</v>
      </c>
      <c r="E58" t="str">
        <f>IF(_7C_GDPPC_year_PTvsWE[[#This Row],[Year]]=1900,"first",IF(_7C_GDPPC_year_PTvsWE[[#This Row],[Difference]]&gt;D57,"yes","no"))</f>
        <v>yes</v>
      </c>
      <c r="F58" s="2">
        <f>_7C_GDPPC_year_PTvsWE[[#This Row],[Focus/GDP per capita]]/_7C_GDPPC_year_PTvsWE[[#This Row],[Western Europe/GDP per capita]]</f>
        <v>0.53579960944030725</v>
      </c>
    </row>
    <row r="59" spans="1:6" x14ac:dyDescent="0.35">
      <c r="A59">
        <v>1957</v>
      </c>
      <c r="B59" s="1">
        <v>4238</v>
      </c>
      <c r="C59" s="1">
        <v>7903.9269999999997</v>
      </c>
      <c r="D59" s="1">
        <f>_7C_GDPPC_year_PTvsWE[[#This Row],[Western Europe/GDP per capita]]-_7C_GDPPC_year_PTvsWE[[#This Row],[Focus/GDP per capita]]</f>
        <v>3665.9269999999997</v>
      </c>
      <c r="E59" t="str">
        <f>IF(_7C_GDPPC_year_PTvsWE[[#This Row],[Year]]=1900,"first",IF(_7C_GDPPC_year_PTvsWE[[#This Row],[Difference]]&gt;D58,"yes","no"))</f>
        <v>yes</v>
      </c>
      <c r="F59" s="2">
        <f>_7C_GDPPC_year_PTvsWE[[#This Row],[Focus/GDP per capita]]/_7C_GDPPC_year_PTvsWE[[#This Row],[Western Europe/GDP per capita]]</f>
        <v>0.53618916267824845</v>
      </c>
    </row>
    <row r="60" spans="1:6" x14ac:dyDescent="0.35">
      <c r="A60">
        <v>1958</v>
      </c>
      <c r="B60" s="1">
        <v>4259</v>
      </c>
      <c r="C60" s="1">
        <v>8076.9872857143</v>
      </c>
      <c r="D60" s="1">
        <f>_7C_GDPPC_year_PTvsWE[[#This Row],[Western Europe/GDP per capita]]-_7C_GDPPC_year_PTvsWE[[#This Row],[Focus/GDP per capita]]</f>
        <v>3817.9872857143</v>
      </c>
      <c r="E60" t="str">
        <f>IF(_7C_GDPPC_year_PTvsWE[[#This Row],[Year]]=1900,"first",IF(_7C_GDPPC_year_PTvsWE[[#This Row],[Difference]]&gt;D59,"yes","no"))</f>
        <v>yes</v>
      </c>
      <c r="F60" s="2">
        <f>_7C_GDPPC_year_PTvsWE[[#This Row],[Focus/GDP per capita]]/_7C_GDPPC_year_PTvsWE[[#This Row],[Western Europe/GDP per capita]]</f>
        <v>0.52730057004458308</v>
      </c>
    </row>
    <row r="61" spans="1:6" x14ac:dyDescent="0.35">
      <c r="A61">
        <v>1959</v>
      </c>
      <c r="B61" s="1">
        <v>4454</v>
      </c>
      <c r="C61" s="1">
        <v>8352.9</v>
      </c>
      <c r="D61" s="1">
        <f>_7C_GDPPC_year_PTvsWE[[#This Row],[Western Europe/GDP per capita]]-_7C_GDPPC_year_PTvsWE[[#This Row],[Focus/GDP per capita]]</f>
        <v>3898.8999999999996</v>
      </c>
      <c r="E61" t="str">
        <f>IF(_7C_GDPPC_year_PTvsWE[[#This Row],[Year]]=1900,"first",IF(_7C_GDPPC_year_PTvsWE[[#This Row],[Difference]]&gt;D60,"yes","no"))</f>
        <v>yes</v>
      </c>
      <c r="F61" s="2">
        <f>_7C_GDPPC_year_PTvsWE[[#This Row],[Focus/GDP per capita]]/_7C_GDPPC_year_PTvsWE[[#This Row],[Western Europe/GDP per capita]]</f>
        <v>0.53322798070131339</v>
      </c>
    </row>
    <row r="62" spans="1:6" x14ac:dyDescent="0.35">
      <c r="A62">
        <v>1960</v>
      </c>
      <c r="B62" s="1">
        <v>4712</v>
      </c>
      <c r="C62" s="1">
        <v>8779.5094857142994</v>
      </c>
      <c r="D62" s="1">
        <f>_7C_GDPPC_year_PTvsWE[[#This Row],[Western Europe/GDP per capita]]-_7C_GDPPC_year_PTvsWE[[#This Row],[Focus/GDP per capita]]</f>
        <v>4067.5094857142994</v>
      </c>
      <c r="E62" t="str">
        <f>IF(_7C_GDPPC_year_PTvsWE[[#This Row],[Year]]=1900,"first",IF(_7C_GDPPC_year_PTvsWE[[#This Row],[Difference]]&gt;D61,"yes","no"))</f>
        <v>yes</v>
      </c>
      <c r="F62" s="2">
        <f>_7C_GDPPC_year_PTvsWE[[#This Row],[Focus/GDP per capita]]/_7C_GDPPC_year_PTvsWE[[#This Row],[Western Europe/GDP per capita]]</f>
        <v>0.53670424386091231</v>
      </c>
    </row>
    <row r="63" spans="1:6" x14ac:dyDescent="0.35">
      <c r="A63">
        <v>1961</v>
      </c>
      <c r="B63" s="1">
        <v>4972</v>
      </c>
      <c r="C63" s="1">
        <v>9267.3482142856992</v>
      </c>
      <c r="D63" s="1">
        <f>_7C_GDPPC_year_PTvsWE[[#This Row],[Western Europe/GDP per capita]]-_7C_GDPPC_year_PTvsWE[[#This Row],[Focus/GDP per capita]]</f>
        <v>4295.3482142856992</v>
      </c>
      <c r="E63" t="str">
        <f>IF(_7C_GDPPC_year_PTvsWE[[#This Row],[Year]]=1900,"first",IF(_7C_GDPPC_year_PTvsWE[[#This Row],[Difference]]&gt;D62,"yes","no"))</f>
        <v>yes</v>
      </c>
      <c r="F63" s="2">
        <f>_7C_GDPPC_year_PTvsWE[[#This Row],[Focus/GDP per capita]]/_7C_GDPPC_year_PTvsWE[[#This Row],[Western Europe/GDP per capita]]</f>
        <v>0.53650730338756647</v>
      </c>
    </row>
    <row r="64" spans="1:6" x14ac:dyDescent="0.35">
      <c r="A64">
        <v>1962</v>
      </c>
      <c r="B64" s="1">
        <v>5308</v>
      </c>
      <c r="C64" s="1">
        <v>9710.9871000000003</v>
      </c>
      <c r="D64" s="1">
        <f>_7C_GDPPC_year_PTvsWE[[#This Row],[Western Europe/GDP per capita]]-_7C_GDPPC_year_PTvsWE[[#This Row],[Focus/GDP per capita]]</f>
        <v>4402.9871000000003</v>
      </c>
      <c r="E64" t="str">
        <f>IF(_7C_GDPPC_year_PTvsWE[[#This Row],[Year]]=1900,"first",IF(_7C_GDPPC_year_PTvsWE[[#This Row],[Difference]]&gt;D63,"yes","no"))</f>
        <v>yes</v>
      </c>
      <c r="F64" s="2">
        <f>_7C_GDPPC_year_PTvsWE[[#This Row],[Focus/GDP per capita]]/_7C_GDPPC_year_PTvsWE[[#This Row],[Western Europe/GDP per capita]]</f>
        <v>0.54659736907692935</v>
      </c>
    </row>
    <row r="65" spans="1:6" x14ac:dyDescent="0.35">
      <c r="A65">
        <v>1963</v>
      </c>
      <c r="B65" s="1">
        <v>5585</v>
      </c>
      <c r="C65" s="1">
        <v>10177.6532571429</v>
      </c>
      <c r="D65" s="1">
        <f>_7C_GDPPC_year_PTvsWE[[#This Row],[Western Europe/GDP per capita]]-_7C_GDPPC_year_PTvsWE[[#This Row],[Focus/GDP per capita]]</f>
        <v>4592.6532571428997</v>
      </c>
      <c r="E65" t="str">
        <f>IF(_7C_GDPPC_year_PTvsWE[[#This Row],[Year]]=1900,"first",IF(_7C_GDPPC_year_PTvsWE[[#This Row],[Difference]]&gt;D64,"yes","no"))</f>
        <v>yes</v>
      </c>
      <c r="F65" s="2">
        <f>_7C_GDPPC_year_PTvsWE[[#This Row],[Focus/GDP per capita]]/_7C_GDPPC_year_PTvsWE[[#This Row],[Western Europe/GDP per capita]]</f>
        <v>0.54875125521498036</v>
      </c>
    </row>
    <row r="66" spans="1:6" x14ac:dyDescent="0.35">
      <c r="A66">
        <v>1964</v>
      </c>
      <c r="B66" s="1">
        <v>5926</v>
      </c>
      <c r="C66" s="1">
        <v>10690.784528571399</v>
      </c>
      <c r="D66" s="1">
        <f>_7C_GDPPC_year_PTvsWE[[#This Row],[Western Europe/GDP per capita]]-_7C_GDPPC_year_PTvsWE[[#This Row],[Focus/GDP per capita]]</f>
        <v>4764.7845285713993</v>
      </c>
      <c r="E66" t="str">
        <f>IF(_7C_GDPPC_year_PTvsWE[[#This Row],[Year]]=1900,"first",IF(_7C_GDPPC_year_PTvsWE[[#This Row],[Difference]]&gt;D65,"yes","no"))</f>
        <v>yes</v>
      </c>
      <c r="F66" s="2">
        <f>_7C_GDPPC_year_PTvsWE[[#This Row],[Focus/GDP per capita]]/_7C_GDPPC_year_PTvsWE[[#This Row],[Western Europe/GDP per capita]]</f>
        <v>0.55430917947720404</v>
      </c>
    </row>
    <row r="67" spans="1:6" x14ac:dyDescent="0.35">
      <c r="A67">
        <v>1965</v>
      </c>
      <c r="B67" s="1">
        <v>6363</v>
      </c>
      <c r="C67" s="1">
        <v>11093.5692857143</v>
      </c>
      <c r="D67" s="1">
        <f>_7C_GDPPC_year_PTvsWE[[#This Row],[Western Europe/GDP per capita]]-_7C_GDPPC_year_PTvsWE[[#This Row],[Focus/GDP per capita]]</f>
        <v>4730.5692857143003</v>
      </c>
      <c r="E67" t="str">
        <f>IF(_7C_GDPPC_year_PTvsWE[[#This Row],[Year]]=1900,"first",IF(_7C_GDPPC_year_PTvsWE[[#This Row],[Difference]]&gt;D66,"yes","no"))</f>
        <v>no</v>
      </c>
      <c r="F67" s="2">
        <f>_7C_GDPPC_year_PTvsWE[[#This Row],[Focus/GDP per capita]]/_7C_GDPPC_year_PTvsWE[[#This Row],[Western Europe/GDP per capita]]</f>
        <v>0.57357554057862403</v>
      </c>
    </row>
    <row r="68" spans="1:6" x14ac:dyDescent="0.35">
      <c r="A68">
        <v>1966</v>
      </c>
      <c r="B68" s="1">
        <v>6637</v>
      </c>
      <c r="C68" s="1">
        <v>11480.692800000001</v>
      </c>
      <c r="D68" s="1">
        <f>_7C_GDPPC_year_PTvsWE[[#This Row],[Western Europe/GDP per capita]]-_7C_GDPPC_year_PTvsWE[[#This Row],[Focus/GDP per capita]]</f>
        <v>4843.6928000000007</v>
      </c>
      <c r="E68" t="str">
        <f>IF(_7C_GDPPC_year_PTvsWE[[#This Row],[Year]]=1900,"first",IF(_7C_GDPPC_year_PTvsWE[[#This Row],[Difference]]&gt;D67,"yes","no"))</f>
        <v>yes</v>
      </c>
      <c r="F68" s="2">
        <f>_7C_GDPPC_year_PTvsWE[[#This Row],[Focus/GDP per capita]]/_7C_GDPPC_year_PTvsWE[[#This Row],[Western Europe/GDP per capita]]</f>
        <v>0.57810100101276118</v>
      </c>
    </row>
    <row r="69" spans="1:6" x14ac:dyDescent="0.35">
      <c r="A69">
        <v>1967</v>
      </c>
      <c r="B69" s="1">
        <v>7143</v>
      </c>
      <c r="C69" s="1">
        <v>11905.4391428571</v>
      </c>
      <c r="D69" s="1">
        <f>_7C_GDPPC_year_PTvsWE[[#This Row],[Western Europe/GDP per capita]]-_7C_GDPPC_year_PTvsWE[[#This Row],[Focus/GDP per capita]]</f>
        <v>4762.4391428570998</v>
      </c>
      <c r="E69" t="str">
        <f>IF(_7C_GDPPC_year_PTvsWE[[#This Row],[Year]]=1900,"first",IF(_7C_GDPPC_year_PTvsWE[[#This Row],[Difference]]&gt;D68,"yes","no"))</f>
        <v>no</v>
      </c>
      <c r="F69" s="2">
        <f>_7C_GDPPC_year_PTvsWE[[#This Row],[Focus/GDP per capita]]/_7C_GDPPC_year_PTvsWE[[#This Row],[Western Europe/GDP per capita]]</f>
        <v>0.59997786845902124</v>
      </c>
    </row>
    <row r="70" spans="1:6" x14ac:dyDescent="0.35">
      <c r="A70">
        <v>1968</v>
      </c>
      <c r="B70" s="1">
        <v>7767</v>
      </c>
      <c r="C70" s="1">
        <v>12542.8401428571</v>
      </c>
      <c r="D70" s="1">
        <f>_7C_GDPPC_year_PTvsWE[[#This Row],[Western Europe/GDP per capita]]-_7C_GDPPC_year_PTvsWE[[#This Row],[Focus/GDP per capita]]</f>
        <v>4775.8401428570996</v>
      </c>
      <c r="E70" t="str">
        <f>IF(_7C_GDPPC_year_PTvsWE[[#This Row],[Year]]=1900,"first",IF(_7C_GDPPC_year_PTvsWE[[#This Row],[Difference]]&gt;D69,"yes","no"))</f>
        <v>yes</v>
      </c>
      <c r="F70" s="2">
        <f>_7C_GDPPC_year_PTvsWE[[#This Row],[Focus/GDP per capita]]/_7C_GDPPC_year_PTvsWE[[#This Row],[Western Europe/GDP per capita]]</f>
        <v>0.61923774133589304</v>
      </c>
    </row>
    <row r="71" spans="1:6" x14ac:dyDescent="0.35">
      <c r="A71">
        <v>1969</v>
      </c>
      <c r="B71" s="1">
        <v>7949</v>
      </c>
      <c r="C71" s="1">
        <v>13343.724285714299</v>
      </c>
      <c r="D71" s="1">
        <f>_7C_GDPPC_year_PTvsWE[[#This Row],[Western Europe/GDP per capita]]-_7C_GDPPC_year_PTvsWE[[#This Row],[Focus/GDP per capita]]</f>
        <v>5394.7242857142992</v>
      </c>
      <c r="E71" t="str">
        <f>IF(_7C_GDPPC_year_PTvsWE[[#This Row],[Year]]=1900,"first",IF(_7C_GDPPC_year_PTvsWE[[#This Row],[Difference]]&gt;D70,"yes","no"))</f>
        <v>yes</v>
      </c>
      <c r="F71" s="2">
        <f>_7C_GDPPC_year_PTvsWE[[#This Row],[Focus/GDP per capita]]/_7C_GDPPC_year_PTvsWE[[#This Row],[Western Europe/GDP per capita]]</f>
        <v>0.5957107498474129</v>
      </c>
    </row>
    <row r="72" spans="1:6" x14ac:dyDescent="0.35">
      <c r="A72">
        <v>1970</v>
      </c>
      <c r="B72" s="1">
        <v>8724</v>
      </c>
      <c r="C72" s="1">
        <v>13879.1341428571</v>
      </c>
      <c r="D72" s="1">
        <f>_7C_GDPPC_year_PTvsWE[[#This Row],[Western Europe/GDP per capita]]-_7C_GDPPC_year_PTvsWE[[#This Row],[Focus/GDP per capita]]</f>
        <v>5155.1341428570995</v>
      </c>
      <c r="E72" t="str">
        <f>IF(_7C_GDPPC_year_PTvsWE[[#This Row],[Year]]=1900,"first",IF(_7C_GDPPC_year_PTvsWE[[#This Row],[Difference]]&gt;D71,"yes","no"))</f>
        <v>no</v>
      </c>
      <c r="F72" s="2">
        <f>_7C_GDPPC_year_PTvsWE[[#This Row],[Focus/GDP per capita]]/_7C_GDPPC_year_PTvsWE[[#This Row],[Western Europe/GDP per capita]]</f>
        <v>0.62856947055950241</v>
      </c>
    </row>
    <row r="73" spans="1:6" x14ac:dyDescent="0.35">
      <c r="A73">
        <v>1971</v>
      </c>
      <c r="B73" s="1">
        <v>9358</v>
      </c>
      <c r="C73" s="1">
        <v>14325.696714285699</v>
      </c>
      <c r="D73" s="1">
        <f>_7C_GDPPC_year_PTvsWE[[#This Row],[Western Europe/GDP per capita]]-_7C_GDPPC_year_PTvsWE[[#This Row],[Focus/GDP per capita]]</f>
        <v>4967.6967142856993</v>
      </c>
      <c r="E73" t="str">
        <f>IF(_7C_GDPPC_year_PTvsWE[[#This Row],[Year]]=1900,"first",IF(_7C_GDPPC_year_PTvsWE[[#This Row],[Difference]]&gt;D72,"yes","no"))</f>
        <v>no</v>
      </c>
      <c r="F73" s="2">
        <f>_7C_GDPPC_year_PTvsWE[[#This Row],[Focus/GDP per capita]]/_7C_GDPPC_year_PTvsWE[[#This Row],[Western Europe/GDP per capita]]</f>
        <v>0.65323175456228444</v>
      </c>
    </row>
    <row r="74" spans="1:6" x14ac:dyDescent="0.35">
      <c r="A74">
        <v>1972</v>
      </c>
      <c r="B74" s="1">
        <v>10130</v>
      </c>
      <c r="C74" s="1">
        <v>15060.670285714299</v>
      </c>
      <c r="D74" s="1">
        <f>_7C_GDPPC_year_PTvsWE[[#This Row],[Western Europe/GDP per capita]]-_7C_GDPPC_year_PTvsWE[[#This Row],[Focus/GDP per capita]]</f>
        <v>4930.6702857142991</v>
      </c>
      <c r="E74" t="str">
        <f>IF(_7C_GDPPC_year_PTvsWE[[#This Row],[Year]]=1900,"first",IF(_7C_GDPPC_year_PTvsWE[[#This Row],[Difference]]&gt;D73,"yes","no"))</f>
        <v>no</v>
      </c>
      <c r="F74" s="2">
        <f>_7C_GDPPC_year_PTvsWE[[#This Row],[Focus/GDP per capita]]/_7C_GDPPC_year_PTvsWE[[#This Row],[Western Europe/GDP per capita]]</f>
        <v>0.67261282584539051</v>
      </c>
    </row>
    <row r="75" spans="1:6" x14ac:dyDescent="0.35">
      <c r="A75">
        <v>1973</v>
      </c>
      <c r="B75" s="1">
        <v>11258</v>
      </c>
      <c r="C75" s="1">
        <v>15805.957428571401</v>
      </c>
      <c r="D75" s="1">
        <f>_7C_GDPPC_year_PTvsWE[[#This Row],[Western Europe/GDP per capita]]-_7C_GDPPC_year_PTvsWE[[#This Row],[Focus/GDP per capita]]</f>
        <v>4547.9574285714007</v>
      </c>
      <c r="E75" t="str">
        <f>IF(_7C_GDPPC_year_PTvsWE[[#This Row],[Year]]=1900,"first",IF(_7C_GDPPC_year_PTvsWE[[#This Row],[Difference]]&gt;D74,"yes","no"))</f>
        <v>no</v>
      </c>
      <c r="F75" s="2">
        <f>_7C_GDPPC_year_PTvsWE[[#This Row],[Focus/GDP per capita]]/_7C_GDPPC_year_PTvsWE[[#This Row],[Western Europe/GDP per capita]]</f>
        <v>0.71226308503461144</v>
      </c>
    </row>
    <row r="76" spans="1:6" x14ac:dyDescent="0.35">
      <c r="A76">
        <v>1974</v>
      </c>
      <c r="B76" s="1">
        <v>11234</v>
      </c>
      <c r="C76" s="1">
        <v>16172.992857142901</v>
      </c>
      <c r="D76" s="1">
        <f>_7C_GDPPC_year_PTvsWE[[#This Row],[Western Europe/GDP per capita]]-_7C_GDPPC_year_PTvsWE[[#This Row],[Focus/GDP per capita]]</f>
        <v>4938.9928571429009</v>
      </c>
      <c r="E76" t="str">
        <f>IF(_7C_GDPPC_year_PTvsWE[[#This Row],[Year]]=1900,"first",IF(_7C_GDPPC_year_PTvsWE[[#This Row],[Difference]]&gt;D75,"yes","no"))</f>
        <v>yes</v>
      </c>
      <c r="F76" s="2">
        <f>_7C_GDPPC_year_PTvsWE[[#This Row],[Focus/GDP per capita]]/_7C_GDPPC_year_PTvsWE[[#This Row],[Western Europe/GDP per capita]]</f>
        <v>0.69461478770383778</v>
      </c>
    </row>
    <row r="77" spans="1:6" x14ac:dyDescent="0.35">
      <c r="A77">
        <v>1975</v>
      </c>
      <c r="B77" s="1">
        <v>10388</v>
      </c>
      <c r="C77" s="1">
        <v>16197.7605714286</v>
      </c>
      <c r="D77" s="1">
        <f>_7C_GDPPC_year_PTvsWE[[#This Row],[Western Europe/GDP per capita]]-_7C_GDPPC_year_PTvsWE[[#This Row],[Focus/GDP per capita]]</f>
        <v>5809.7605714286001</v>
      </c>
      <c r="E77" t="str">
        <f>IF(_7C_GDPPC_year_PTvsWE[[#This Row],[Year]]=1900,"first",IF(_7C_GDPPC_year_PTvsWE[[#This Row],[Difference]]&gt;D76,"yes","no"))</f>
        <v>yes</v>
      </c>
      <c r="F77" s="2">
        <f>_7C_GDPPC_year_PTvsWE[[#This Row],[Focus/GDP per capita]]/_7C_GDPPC_year_PTvsWE[[#This Row],[Western Europe/GDP per capita]]</f>
        <v>0.64132322207080295</v>
      </c>
    </row>
    <row r="78" spans="1:6" x14ac:dyDescent="0.35">
      <c r="A78">
        <v>1976</v>
      </c>
      <c r="B78" s="1">
        <v>10861</v>
      </c>
      <c r="C78" s="1">
        <v>16906.998</v>
      </c>
      <c r="D78" s="1">
        <f>_7C_GDPPC_year_PTvsWE[[#This Row],[Western Europe/GDP per capita]]-_7C_GDPPC_year_PTvsWE[[#This Row],[Focus/GDP per capita]]</f>
        <v>6045.9979999999996</v>
      </c>
      <c r="E78" t="str">
        <f>IF(_7C_GDPPC_year_PTvsWE[[#This Row],[Year]]=1900,"first",IF(_7C_GDPPC_year_PTvsWE[[#This Row],[Difference]]&gt;D77,"yes","no"))</f>
        <v>yes</v>
      </c>
      <c r="F78" s="2">
        <f>_7C_GDPPC_year_PTvsWE[[#This Row],[Focus/GDP per capita]]/_7C_GDPPC_year_PTvsWE[[#This Row],[Western Europe/GDP per capita]]</f>
        <v>0.64239671643659035</v>
      </c>
    </row>
    <row r="79" spans="1:6" x14ac:dyDescent="0.35">
      <c r="A79">
        <v>1977</v>
      </c>
      <c r="B79" s="1">
        <v>11422</v>
      </c>
      <c r="C79" s="1">
        <v>17365.1731428571</v>
      </c>
      <c r="D79" s="1">
        <f>_7C_GDPPC_year_PTvsWE[[#This Row],[Western Europe/GDP per capita]]-_7C_GDPPC_year_PTvsWE[[#This Row],[Focus/GDP per capita]]</f>
        <v>5943.1731428571002</v>
      </c>
      <c r="E79" t="str">
        <f>IF(_7C_GDPPC_year_PTvsWE[[#This Row],[Year]]=1900,"first",IF(_7C_GDPPC_year_PTvsWE[[#This Row],[Difference]]&gt;D78,"yes","no"))</f>
        <v>no</v>
      </c>
      <c r="F79" s="2">
        <f>_7C_GDPPC_year_PTvsWE[[#This Row],[Focus/GDP per capita]]/_7C_GDPPC_year_PTvsWE[[#This Row],[Western Europe/GDP per capita]]</f>
        <v>0.65775330346753647</v>
      </c>
    </row>
    <row r="80" spans="1:6" x14ac:dyDescent="0.35">
      <c r="A80">
        <v>1978</v>
      </c>
      <c r="B80" s="1">
        <v>11700</v>
      </c>
      <c r="C80" s="1">
        <v>17936.953714285701</v>
      </c>
      <c r="D80" s="1">
        <f>_7C_GDPPC_year_PTvsWE[[#This Row],[Western Europe/GDP per capita]]-_7C_GDPPC_year_PTvsWE[[#This Row],[Focus/GDP per capita]]</f>
        <v>6236.9537142857007</v>
      </c>
      <c r="E80" t="str">
        <f>IF(_7C_GDPPC_year_PTvsWE[[#This Row],[Year]]=1900,"first",IF(_7C_GDPPC_year_PTvsWE[[#This Row],[Difference]]&gt;D79,"yes","no"))</f>
        <v>yes</v>
      </c>
      <c r="F80" s="2">
        <f>_7C_GDPPC_year_PTvsWE[[#This Row],[Focus/GDP per capita]]/_7C_GDPPC_year_PTvsWE[[#This Row],[Western Europe/GDP per capita]]</f>
        <v>0.65228467366126142</v>
      </c>
    </row>
    <row r="81" spans="1:6" x14ac:dyDescent="0.35">
      <c r="A81">
        <v>1979</v>
      </c>
      <c r="B81" s="1">
        <v>12326</v>
      </c>
      <c r="C81" s="1">
        <v>18458.013428571401</v>
      </c>
      <c r="D81" s="1">
        <f>_7C_GDPPC_year_PTvsWE[[#This Row],[Western Europe/GDP per capita]]-_7C_GDPPC_year_PTvsWE[[#This Row],[Focus/GDP per capita]]</f>
        <v>6132.0134285714012</v>
      </c>
      <c r="E81" t="str">
        <f>IF(_7C_GDPPC_year_PTvsWE[[#This Row],[Year]]=1900,"first",IF(_7C_GDPPC_year_PTvsWE[[#This Row],[Difference]]&gt;D80,"yes","no"))</f>
        <v>no</v>
      </c>
      <c r="F81" s="2">
        <f>_7C_GDPPC_year_PTvsWE[[#This Row],[Focus/GDP per capita]]/_7C_GDPPC_year_PTvsWE[[#This Row],[Western Europe/GDP per capita]]</f>
        <v>0.66778583988461204</v>
      </c>
    </row>
    <row r="82" spans="1:6" x14ac:dyDescent="0.35">
      <c r="A82">
        <v>1980</v>
      </c>
      <c r="B82" s="1">
        <v>12822</v>
      </c>
      <c r="C82" s="1">
        <v>18853.2764285714</v>
      </c>
      <c r="D82" s="1">
        <f>_7C_GDPPC_year_PTvsWE[[#This Row],[Western Europe/GDP per capita]]-_7C_GDPPC_year_PTvsWE[[#This Row],[Focus/GDP per capita]]</f>
        <v>6031.2764285714002</v>
      </c>
      <c r="E82" t="str">
        <f>IF(_7C_GDPPC_year_PTvsWE[[#This Row],[Year]]=1900,"first",IF(_7C_GDPPC_year_PTvsWE[[#This Row],[Difference]]&gt;D81,"yes","no"))</f>
        <v>no</v>
      </c>
      <c r="F82" s="2">
        <f>_7C_GDPPC_year_PTvsWE[[#This Row],[Focus/GDP per capita]]/_7C_GDPPC_year_PTvsWE[[#This Row],[Western Europe/GDP per capita]]</f>
        <v>0.68009399048373165</v>
      </c>
    </row>
    <row r="83" spans="1:6" x14ac:dyDescent="0.35">
      <c r="A83">
        <v>1981</v>
      </c>
      <c r="B83" s="1">
        <v>12934</v>
      </c>
      <c r="C83" s="1">
        <v>18853.901999999998</v>
      </c>
      <c r="D83" s="1">
        <f>_7C_GDPPC_year_PTvsWE[[#This Row],[Western Europe/GDP per capita]]-_7C_GDPPC_year_PTvsWE[[#This Row],[Focus/GDP per capita]]</f>
        <v>5919.9019999999982</v>
      </c>
      <c r="E83" t="str">
        <f>IF(_7C_GDPPC_year_PTvsWE[[#This Row],[Year]]=1900,"first",IF(_7C_GDPPC_year_PTvsWE[[#This Row],[Difference]]&gt;D82,"yes","no"))</f>
        <v>no</v>
      </c>
      <c r="F83" s="2">
        <f>_7C_GDPPC_year_PTvsWE[[#This Row],[Focus/GDP per capita]]/_7C_GDPPC_year_PTvsWE[[#This Row],[Western Europe/GDP per capita]]</f>
        <v>0.68601183988333037</v>
      </c>
    </row>
    <row r="84" spans="1:6" x14ac:dyDescent="0.35">
      <c r="A84">
        <v>1982</v>
      </c>
      <c r="B84" s="1">
        <v>13198</v>
      </c>
      <c r="C84" s="1">
        <v>18993.443500000001</v>
      </c>
      <c r="D84" s="1">
        <f>_7C_GDPPC_year_PTvsWE[[#This Row],[Western Europe/GDP per capita]]-_7C_GDPPC_year_PTvsWE[[#This Row],[Focus/GDP per capita]]</f>
        <v>5795.4435000000012</v>
      </c>
      <c r="E84" t="str">
        <f>IF(_7C_GDPPC_year_PTvsWE[[#This Row],[Year]]=1900,"first",IF(_7C_GDPPC_year_PTvsWE[[#This Row],[Difference]]&gt;D83,"yes","no"))</f>
        <v>no</v>
      </c>
      <c r="F84" s="2">
        <f>_7C_GDPPC_year_PTvsWE[[#This Row],[Focus/GDP per capita]]/_7C_GDPPC_year_PTvsWE[[#This Row],[Western Europe/GDP per capita]]</f>
        <v>0.6948713644263611</v>
      </c>
    </row>
    <row r="85" spans="1:6" x14ac:dyDescent="0.35">
      <c r="A85">
        <v>1983</v>
      </c>
      <c r="B85" s="1">
        <v>13158</v>
      </c>
      <c r="C85" s="1">
        <v>19122.8491428571</v>
      </c>
      <c r="D85" s="1">
        <f>_7C_GDPPC_year_PTvsWE[[#This Row],[Western Europe/GDP per capita]]-_7C_GDPPC_year_PTvsWE[[#This Row],[Focus/GDP per capita]]</f>
        <v>5964.8491428570997</v>
      </c>
      <c r="E85" t="str">
        <f>IF(_7C_GDPPC_year_PTvsWE[[#This Row],[Year]]=1900,"first",IF(_7C_GDPPC_year_PTvsWE[[#This Row],[Difference]]&gt;D84,"yes","no"))</f>
        <v>yes</v>
      </c>
      <c r="F85" s="2">
        <f>_7C_GDPPC_year_PTvsWE[[#This Row],[Focus/GDP per capita]]/_7C_GDPPC_year_PTvsWE[[#This Row],[Western Europe/GDP per capita]]</f>
        <v>0.68807738332835555</v>
      </c>
    </row>
    <row r="86" spans="1:6" x14ac:dyDescent="0.35">
      <c r="A86">
        <v>1984</v>
      </c>
      <c r="B86" s="1">
        <v>12894</v>
      </c>
      <c r="C86" s="1">
        <v>19542.332285714299</v>
      </c>
      <c r="D86" s="1">
        <f>_7C_GDPPC_year_PTvsWE[[#This Row],[Western Europe/GDP per capita]]-_7C_GDPPC_year_PTvsWE[[#This Row],[Focus/GDP per capita]]</f>
        <v>6648.3322857142994</v>
      </c>
      <c r="E86" t="str">
        <f>IF(_7C_GDPPC_year_PTvsWE[[#This Row],[Year]]=1900,"first",IF(_7C_GDPPC_year_PTvsWE[[#This Row],[Difference]]&gt;D85,"yes","no"))</f>
        <v>yes</v>
      </c>
      <c r="F86" s="2">
        <f>_7C_GDPPC_year_PTvsWE[[#This Row],[Focus/GDP per capita]]/_7C_GDPPC_year_PTvsWE[[#This Row],[Western Europe/GDP per capita]]</f>
        <v>0.65979842177925108</v>
      </c>
    </row>
    <row r="87" spans="1:6" x14ac:dyDescent="0.35">
      <c r="A87">
        <v>1985</v>
      </c>
      <c r="B87" s="1">
        <v>13240</v>
      </c>
      <c r="C87" s="1">
        <v>19944.423714285698</v>
      </c>
      <c r="D87" s="1">
        <f>_7C_GDPPC_year_PTvsWE[[#This Row],[Western Europe/GDP per capita]]-_7C_GDPPC_year_PTvsWE[[#This Row],[Focus/GDP per capita]]</f>
        <v>6704.4237142856982</v>
      </c>
      <c r="E87" t="str">
        <f>IF(_7C_GDPPC_year_PTvsWE[[#This Row],[Year]]=1900,"first",IF(_7C_GDPPC_year_PTvsWE[[#This Row],[Difference]]&gt;D86,"yes","no"))</f>
        <v>yes</v>
      </c>
      <c r="F87" s="2">
        <f>_7C_GDPPC_year_PTvsWE[[#This Row],[Focus/GDP per capita]]/_7C_GDPPC_year_PTvsWE[[#This Row],[Western Europe/GDP per capita]]</f>
        <v>0.66384470113902139</v>
      </c>
    </row>
    <row r="88" spans="1:6" x14ac:dyDescent="0.35">
      <c r="A88">
        <v>1986</v>
      </c>
      <c r="B88" s="1">
        <v>13774</v>
      </c>
      <c r="C88" s="1">
        <v>20325.711428571401</v>
      </c>
      <c r="D88" s="1">
        <f>_7C_GDPPC_year_PTvsWE[[#This Row],[Western Europe/GDP per capita]]-_7C_GDPPC_year_PTvsWE[[#This Row],[Focus/GDP per capita]]</f>
        <v>6551.7114285714015</v>
      </c>
      <c r="E88" t="str">
        <f>IF(_7C_GDPPC_year_PTvsWE[[#This Row],[Year]]=1900,"first",IF(_7C_GDPPC_year_PTvsWE[[#This Row],[Difference]]&gt;D87,"yes","no"))</f>
        <v>no</v>
      </c>
      <c r="F88" s="2">
        <f>_7C_GDPPC_year_PTvsWE[[#This Row],[Focus/GDP per capita]]/_7C_GDPPC_year_PTvsWE[[#This Row],[Western Europe/GDP per capita]]</f>
        <v>0.6776638568546336</v>
      </c>
    </row>
    <row r="89" spans="1:6" x14ac:dyDescent="0.35">
      <c r="A89">
        <v>1987</v>
      </c>
      <c r="B89" s="1">
        <v>14641</v>
      </c>
      <c r="C89" s="1">
        <v>20864.8692857143</v>
      </c>
      <c r="D89" s="1">
        <f>_7C_GDPPC_year_PTvsWE[[#This Row],[Western Europe/GDP per capita]]-_7C_GDPPC_year_PTvsWE[[#This Row],[Focus/GDP per capita]]</f>
        <v>6223.8692857142996</v>
      </c>
      <c r="E89" t="str">
        <f>IF(_7C_GDPPC_year_PTvsWE[[#This Row],[Year]]=1900,"first",IF(_7C_GDPPC_year_PTvsWE[[#This Row],[Difference]]&gt;D88,"yes","no"))</f>
        <v>no</v>
      </c>
      <c r="F89" s="2">
        <f>_7C_GDPPC_year_PTvsWE[[#This Row],[Focus/GDP per capita]]/_7C_GDPPC_year_PTvsWE[[#This Row],[Western Europe/GDP per capita]]</f>
        <v>0.70170580987173303</v>
      </c>
    </row>
    <row r="90" spans="1:6" x14ac:dyDescent="0.35">
      <c r="A90">
        <v>1988</v>
      </c>
      <c r="B90" s="1">
        <v>15729</v>
      </c>
      <c r="C90" s="1">
        <v>21764.929714285699</v>
      </c>
      <c r="D90" s="1">
        <f>_7C_GDPPC_year_PTvsWE[[#This Row],[Western Europe/GDP per capita]]-_7C_GDPPC_year_PTvsWE[[#This Row],[Focus/GDP per capita]]</f>
        <v>6035.9297142856994</v>
      </c>
      <c r="E90" t="str">
        <f>IF(_7C_GDPPC_year_PTvsWE[[#This Row],[Year]]=1900,"first",IF(_7C_GDPPC_year_PTvsWE[[#This Row],[Difference]]&gt;D89,"yes","no"))</f>
        <v>no</v>
      </c>
      <c r="F90" s="2">
        <f>_7C_GDPPC_year_PTvsWE[[#This Row],[Focus/GDP per capita]]/_7C_GDPPC_year_PTvsWE[[#This Row],[Western Europe/GDP per capita]]</f>
        <v>0.72267635165741251</v>
      </c>
    </row>
    <row r="91" spans="1:6" x14ac:dyDescent="0.35">
      <c r="A91">
        <v>1989</v>
      </c>
      <c r="B91" s="1">
        <v>16533</v>
      </c>
      <c r="C91" s="1">
        <v>22561.907428571401</v>
      </c>
      <c r="D91" s="1">
        <f>_7C_GDPPC_year_PTvsWE[[#This Row],[Western Europe/GDP per capita]]-_7C_GDPPC_year_PTvsWE[[#This Row],[Focus/GDP per capita]]</f>
        <v>6028.9074285714014</v>
      </c>
      <c r="E91" t="str">
        <f>IF(_7C_GDPPC_year_PTvsWE[[#This Row],[Year]]=1900,"first",IF(_7C_GDPPC_year_PTvsWE[[#This Row],[Difference]]&gt;D90,"yes","no"))</f>
        <v>no</v>
      </c>
      <c r="F91" s="2">
        <f>_7C_GDPPC_year_PTvsWE[[#This Row],[Focus/GDP per capita]]/_7C_GDPPC_year_PTvsWE[[#This Row],[Western Europe/GDP per capita]]</f>
        <v>0.73278378844260927</v>
      </c>
    </row>
    <row r="92" spans="1:6" x14ac:dyDescent="0.35">
      <c r="A92">
        <v>1990</v>
      </c>
      <c r="B92" s="1">
        <v>17256</v>
      </c>
      <c r="C92" s="1">
        <v>22993.142857142899</v>
      </c>
      <c r="D92" s="1">
        <f>_7C_GDPPC_year_PTvsWE[[#This Row],[Western Europe/GDP per capita]]-_7C_GDPPC_year_PTvsWE[[#This Row],[Focus/GDP per capita]]</f>
        <v>5737.1428571428987</v>
      </c>
      <c r="E92" t="str">
        <f>IF(_7C_GDPPC_year_PTvsWE[[#This Row],[Year]]=1900,"first",IF(_7C_GDPPC_year_PTvsWE[[#This Row],[Difference]]&gt;D91,"yes","no"))</f>
        <v>no</v>
      </c>
      <c r="F92" s="2">
        <f>_7C_GDPPC_year_PTvsWE[[#This Row],[Focus/GDP per capita]]/_7C_GDPPC_year_PTvsWE[[#This Row],[Western Europe/GDP per capita]]</f>
        <v>0.75048461653163545</v>
      </c>
    </row>
    <row r="93" spans="1:6" x14ac:dyDescent="0.35">
      <c r="A93">
        <v>1991</v>
      </c>
      <c r="B93" s="1">
        <v>17949.809000000001</v>
      </c>
      <c r="C93" s="1">
        <v>23586.3692857143</v>
      </c>
      <c r="D93" s="1">
        <f>_7C_GDPPC_year_PTvsWE[[#This Row],[Western Europe/GDP per capita]]-_7C_GDPPC_year_PTvsWE[[#This Row],[Focus/GDP per capita]]</f>
        <v>5636.5602857142985</v>
      </c>
      <c r="E93" t="str">
        <f>IF(_7C_GDPPC_year_PTvsWE[[#This Row],[Year]]=1900,"first",IF(_7C_GDPPC_year_PTvsWE[[#This Row],[Difference]]&gt;D92,"yes","no"))</f>
        <v>no</v>
      </c>
      <c r="F93" s="2">
        <f>_7C_GDPPC_year_PTvsWE[[#This Row],[Focus/GDP per capita]]/_7C_GDPPC_year_PTvsWE[[#This Row],[Western Europe/GDP per capita]]</f>
        <v>0.76102467414820696</v>
      </c>
    </row>
    <row r="94" spans="1:6" x14ac:dyDescent="0.35">
      <c r="A94">
        <v>1992</v>
      </c>
      <c r="B94" s="1">
        <v>18598.526999999998</v>
      </c>
      <c r="C94" s="1">
        <v>24010.413571428599</v>
      </c>
      <c r="D94" s="1">
        <f>_7C_GDPPC_year_PTvsWE[[#This Row],[Western Europe/GDP per capita]]-_7C_GDPPC_year_PTvsWE[[#This Row],[Focus/GDP per capita]]</f>
        <v>5411.8865714286003</v>
      </c>
      <c r="E94" t="str">
        <f>IF(_7C_GDPPC_year_PTvsWE[[#This Row],[Year]]=1900,"first",IF(_7C_GDPPC_year_PTvsWE[[#This Row],[Difference]]&gt;D93,"yes","no"))</f>
        <v>no</v>
      </c>
      <c r="F94" s="2">
        <f>_7C_GDPPC_year_PTvsWE[[#This Row],[Focus/GDP per capita]]/_7C_GDPPC_year_PTvsWE[[#This Row],[Western Europe/GDP per capita]]</f>
        <v>0.77460252588616296</v>
      </c>
    </row>
    <row r="95" spans="1:6" x14ac:dyDescent="0.35">
      <c r="A95">
        <v>1993</v>
      </c>
      <c r="B95" s="1">
        <v>18519.934000000001</v>
      </c>
      <c r="C95" s="1">
        <v>23908.777285714299</v>
      </c>
      <c r="D95" s="1">
        <f>_7C_GDPPC_year_PTvsWE[[#This Row],[Western Europe/GDP per capita]]-_7C_GDPPC_year_PTvsWE[[#This Row],[Focus/GDP per capita]]</f>
        <v>5388.843285714298</v>
      </c>
      <c r="E95" t="str">
        <f>IF(_7C_GDPPC_year_PTvsWE[[#This Row],[Year]]=1900,"first",IF(_7C_GDPPC_year_PTvsWE[[#This Row],[Difference]]&gt;D94,"yes","no"))</f>
        <v>no</v>
      </c>
      <c r="F95" s="2">
        <f>_7C_GDPPC_year_PTvsWE[[#This Row],[Focus/GDP per capita]]/_7C_GDPPC_year_PTvsWE[[#This Row],[Western Europe/GDP per capita]]</f>
        <v>0.77460816078895933</v>
      </c>
    </row>
    <row r="96" spans="1:6" x14ac:dyDescent="0.35">
      <c r="A96">
        <v>1994</v>
      </c>
      <c r="B96" s="1">
        <v>18819.026999999998</v>
      </c>
      <c r="C96" s="1">
        <v>24689.406857142902</v>
      </c>
      <c r="D96" s="1">
        <f>_7C_GDPPC_year_PTvsWE[[#This Row],[Western Europe/GDP per capita]]-_7C_GDPPC_year_PTvsWE[[#This Row],[Focus/GDP per capita]]</f>
        <v>5870.3798571429033</v>
      </c>
      <c r="E96" t="str">
        <f>IF(_7C_GDPPC_year_PTvsWE[[#This Row],[Year]]=1900,"first",IF(_7C_GDPPC_year_PTvsWE[[#This Row],[Difference]]&gt;D95,"yes","no"))</f>
        <v>yes</v>
      </c>
      <c r="F96" s="2">
        <f>_7C_GDPPC_year_PTvsWE[[#This Row],[Focus/GDP per capita]]/_7C_GDPPC_year_PTvsWE[[#This Row],[Western Europe/GDP per capita]]</f>
        <v>0.76223082672216802</v>
      </c>
    </row>
    <row r="97" spans="1:6" x14ac:dyDescent="0.35">
      <c r="A97">
        <v>1995</v>
      </c>
      <c r="B97" s="1">
        <v>19262.030999999999</v>
      </c>
      <c r="C97" s="1">
        <v>25608.6694285714</v>
      </c>
      <c r="D97" s="1">
        <f>_7C_GDPPC_year_PTvsWE[[#This Row],[Western Europe/GDP per capita]]-_7C_GDPPC_year_PTvsWE[[#This Row],[Focus/GDP per capita]]</f>
        <v>6346.6384285714012</v>
      </c>
      <c r="E97" t="str">
        <f>IF(_7C_GDPPC_year_PTvsWE[[#This Row],[Year]]=1900,"first",IF(_7C_GDPPC_year_PTvsWE[[#This Row],[Difference]]&gt;D96,"yes","no"))</f>
        <v>yes</v>
      </c>
      <c r="F97" s="2">
        <f>_7C_GDPPC_year_PTvsWE[[#This Row],[Focus/GDP per capita]]/_7C_GDPPC_year_PTvsWE[[#This Row],[Western Europe/GDP per capita]]</f>
        <v>0.75216836445666702</v>
      </c>
    </row>
    <row r="98" spans="1:6" x14ac:dyDescent="0.35">
      <c r="A98">
        <v>1996</v>
      </c>
      <c r="B98" s="1">
        <v>19939.310000000001</v>
      </c>
      <c r="C98" s="1">
        <v>26372.247428571402</v>
      </c>
      <c r="D98" s="1">
        <f>_7C_GDPPC_year_PTvsWE[[#This Row],[Western Europe/GDP per capita]]-_7C_GDPPC_year_PTvsWE[[#This Row],[Focus/GDP per capita]]</f>
        <v>6432.9374285714002</v>
      </c>
      <c r="E98" t="str">
        <f>IF(_7C_GDPPC_year_PTvsWE[[#This Row],[Year]]=1900,"first",IF(_7C_GDPPC_year_PTvsWE[[#This Row],[Difference]]&gt;D97,"yes","no"))</f>
        <v>yes</v>
      </c>
      <c r="F98" s="2">
        <f>_7C_GDPPC_year_PTvsWE[[#This Row],[Focus/GDP per capita]]/_7C_GDPPC_year_PTvsWE[[#This Row],[Western Europe/GDP per capita]]</f>
        <v>0.75607170204227547</v>
      </c>
    </row>
    <row r="99" spans="1:6" x14ac:dyDescent="0.35">
      <c r="A99">
        <v>1997</v>
      </c>
      <c r="B99" s="1">
        <v>20810.178</v>
      </c>
      <c r="C99" s="1">
        <v>27505.937857142901</v>
      </c>
      <c r="D99" s="1">
        <f>_7C_GDPPC_year_PTvsWE[[#This Row],[Western Europe/GDP per capita]]-_7C_GDPPC_year_PTvsWE[[#This Row],[Focus/GDP per capita]]</f>
        <v>6695.7598571429007</v>
      </c>
      <c r="E99" t="str">
        <f>IF(_7C_GDPPC_year_PTvsWE[[#This Row],[Year]]=1900,"first",IF(_7C_GDPPC_year_PTvsWE[[#This Row],[Difference]]&gt;D98,"yes","no"))</f>
        <v>yes</v>
      </c>
      <c r="F99" s="2">
        <f>_7C_GDPPC_year_PTvsWE[[#This Row],[Focus/GDP per capita]]/_7C_GDPPC_year_PTvsWE[[#This Row],[Western Europe/GDP per capita]]</f>
        <v>0.75657038520487652</v>
      </c>
    </row>
    <row r="100" spans="1:6" x14ac:dyDescent="0.35">
      <c r="A100">
        <v>1998</v>
      </c>
      <c r="B100" s="1">
        <v>21782.12</v>
      </c>
      <c r="C100" s="1">
        <v>28593.607571428602</v>
      </c>
      <c r="D100" s="1">
        <f>_7C_GDPPC_year_PTvsWE[[#This Row],[Western Europe/GDP per capita]]-_7C_GDPPC_year_PTvsWE[[#This Row],[Focus/GDP per capita]]</f>
        <v>6811.4875714286027</v>
      </c>
      <c r="E100" t="str">
        <f>IF(_7C_GDPPC_year_PTvsWE[[#This Row],[Year]]=1900,"first",IF(_7C_GDPPC_year_PTvsWE[[#This Row],[Difference]]&gt;D99,"yes","no"))</f>
        <v>yes</v>
      </c>
      <c r="F100" s="2">
        <f>_7C_GDPPC_year_PTvsWE[[#This Row],[Focus/GDP per capita]]/_7C_GDPPC_year_PTvsWE[[#This Row],[Western Europe/GDP per capita]]</f>
        <v>0.76178285463234796</v>
      </c>
    </row>
    <row r="101" spans="1:6" x14ac:dyDescent="0.35">
      <c r="A101">
        <v>1999</v>
      </c>
      <c r="B101" s="1">
        <v>22589.921999999999</v>
      </c>
      <c r="C101" s="1">
        <v>29898.233142857101</v>
      </c>
      <c r="D101" s="1">
        <f>_7C_GDPPC_year_PTvsWE[[#This Row],[Western Europe/GDP per capita]]-_7C_GDPPC_year_PTvsWE[[#This Row],[Focus/GDP per capita]]</f>
        <v>7308.3111428571028</v>
      </c>
      <c r="E101" t="str">
        <f>IF(_7C_GDPPC_year_PTvsWE[[#This Row],[Year]]=1900,"first",IF(_7C_GDPPC_year_PTvsWE[[#This Row],[Difference]]&gt;D100,"yes","no"))</f>
        <v>yes</v>
      </c>
      <c r="F101" s="2">
        <f>_7C_GDPPC_year_PTvsWE[[#This Row],[Focus/GDP per capita]]/_7C_GDPPC_year_PTvsWE[[#This Row],[Western Europe/GDP per capita]]</f>
        <v>0.75556043369060721</v>
      </c>
    </row>
    <row r="102" spans="1:6" x14ac:dyDescent="0.35">
      <c r="A102">
        <v>2000</v>
      </c>
      <c r="B102" s="1">
        <v>23372.041000000001</v>
      </c>
      <c r="C102" s="1">
        <v>31425.772428571399</v>
      </c>
      <c r="D102" s="1">
        <f>_7C_GDPPC_year_PTvsWE[[#This Row],[Western Europe/GDP per capita]]-_7C_GDPPC_year_PTvsWE[[#This Row],[Focus/GDP per capita]]</f>
        <v>8053.7314285713983</v>
      </c>
      <c r="E102" t="str">
        <f>IF(_7C_GDPPC_year_PTvsWE[[#This Row],[Year]]=1900,"first",IF(_7C_GDPPC_year_PTvsWE[[#This Row],[Difference]]&gt;D101,"yes","no"))</f>
        <v>yes</v>
      </c>
      <c r="F102" s="2">
        <f>_7C_GDPPC_year_PTvsWE[[#This Row],[Focus/GDP per capita]]/_7C_GDPPC_year_PTvsWE[[#This Row],[Western Europe/GDP per capita]]</f>
        <v>0.74372208521279881</v>
      </c>
    </row>
    <row r="103" spans="1:6" x14ac:dyDescent="0.35">
      <c r="A103">
        <v>2001</v>
      </c>
      <c r="B103" s="1">
        <v>23751.370999999999</v>
      </c>
      <c r="C103" s="1">
        <v>32378.406857142902</v>
      </c>
      <c r="D103" s="1">
        <f>_7C_GDPPC_year_PTvsWE[[#This Row],[Western Europe/GDP per capita]]-_7C_GDPPC_year_PTvsWE[[#This Row],[Focus/GDP per capita]]</f>
        <v>8627.0358571429024</v>
      </c>
      <c r="E103" t="str">
        <f>IF(_7C_GDPPC_year_PTvsWE[[#This Row],[Year]]=1900,"first",IF(_7C_GDPPC_year_PTvsWE[[#This Row],[Difference]]&gt;D102,"yes","no"))</f>
        <v>yes</v>
      </c>
      <c r="F103" s="2">
        <f>_7C_GDPPC_year_PTvsWE[[#This Row],[Focus/GDP per capita]]/_7C_GDPPC_year_PTvsWE[[#This Row],[Western Europe/GDP per capita]]</f>
        <v>0.73355588818170281</v>
      </c>
    </row>
    <row r="104" spans="1:6" x14ac:dyDescent="0.35">
      <c r="A104">
        <v>2002</v>
      </c>
      <c r="B104" s="1">
        <v>23896.458999999999</v>
      </c>
      <c r="C104" s="1">
        <v>33086.2214285714</v>
      </c>
      <c r="D104" s="1">
        <f>_7C_GDPPC_year_PTvsWE[[#This Row],[Western Europe/GDP per capita]]-_7C_GDPPC_year_PTvsWE[[#This Row],[Focus/GDP per capita]]</f>
        <v>9189.762428571401</v>
      </c>
      <c r="E104" t="str">
        <f>IF(_7C_GDPPC_year_PTvsWE[[#This Row],[Year]]=1900,"first",IF(_7C_GDPPC_year_PTvsWE[[#This Row],[Difference]]&gt;D103,"yes","no"))</f>
        <v>yes</v>
      </c>
      <c r="F104" s="2">
        <f>_7C_GDPPC_year_PTvsWE[[#This Row],[Focus/GDP per capita]]/_7C_GDPPC_year_PTvsWE[[#This Row],[Western Europe/GDP per capita]]</f>
        <v>0.72224805276084991</v>
      </c>
    </row>
    <row r="105" spans="1:6" x14ac:dyDescent="0.35">
      <c r="A105">
        <v>2003</v>
      </c>
      <c r="B105" s="1">
        <v>23677.52</v>
      </c>
      <c r="C105" s="1">
        <v>33662.7765714286</v>
      </c>
      <c r="D105" s="1">
        <f>_7C_GDPPC_year_PTvsWE[[#This Row],[Western Europe/GDP per capita]]-_7C_GDPPC_year_PTvsWE[[#This Row],[Focus/GDP per capita]]</f>
        <v>9985.2565714285993</v>
      </c>
      <c r="E105" t="str">
        <f>IF(_7C_GDPPC_year_PTvsWE[[#This Row],[Year]]=1900,"first",IF(_7C_GDPPC_year_PTvsWE[[#This Row],[Difference]]&gt;D104,"yes","no"))</f>
        <v>yes</v>
      </c>
      <c r="F105" s="2">
        <f>_7C_GDPPC_year_PTvsWE[[#This Row],[Focus/GDP per capita]]/_7C_GDPPC_year_PTvsWE[[#This Row],[Western Europe/GDP per capita]]</f>
        <v>0.70337394628630778</v>
      </c>
    </row>
    <row r="106" spans="1:6" x14ac:dyDescent="0.35">
      <c r="A106">
        <v>2004</v>
      </c>
      <c r="B106" s="1">
        <v>24142.766</v>
      </c>
      <c r="C106" s="1">
        <v>34818.908428571398</v>
      </c>
      <c r="D106" s="1">
        <f>_7C_GDPPC_year_PTvsWE[[#This Row],[Western Europe/GDP per capita]]-_7C_GDPPC_year_PTvsWE[[#This Row],[Focus/GDP per capita]]</f>
        <v>10676.142428571398</v>
      </c>
      <c r="E106" t="str">
        <f>IF(_7C_GDPPC_year_PTvsWE[[#This Row],[Year]]=1900,"first",IF(_7C_GDPPC_year_PTvsWE[[#This Row],[Difference]]&gt;D105,"yes","no"))</f>
        <v>yes</v>
      </c>
      <c r="F106" s="2">
        <f>_7C_GDPPC_year_PTvsWE[[#This Row],[Focus/GDP per capita]]/_7C_GDPPC_year_PTvsWE[[#This Row],[Western Europe/GDP per capita]]</f>
        <v>0.6933808981843077</v>
      </c>
    </row>
    <row r="107" spans="1:6" x14ac:dyDescent="0.35">
      <c r="A107">
        <v>2005</v>
      </c>
      <c r="B107" s="1">
        <v>24377.95</v>
      </c>
      <c r="C107" s="1">
        <v>35587.436428571396</v>
      </c>
      <c r="D107" s="1">
        <f>_7C_GDPPC_year_PTvsWE[[#This Row],[Western Europe/GDP per capita]]-_7C_GDPPC_year_PTvsWE[[#This Row],[Focus/GDP per capita]]</f>
        <v>11209.486428571396</v>
      </c>
      <c r="E107" t="str">
        <f>IF(_7C_GDPPC_year_PTvsWE[[#This Row],[Year]]=1900,"first",IF(_7C_GDPPC_year_PTvsWE[[#This Row],[Difference]]&gt;D106,"yes","no"))</f>
        <v>yes</v>
      </c>
      <c r="F107" s="2">
        <f>_7C_GDPPC_year_PTvsWE[[#This Row],[Focus/GDP per capita]]/_7C_GDPPC_year_PTvsWE[[#This Row],[Western Europe/GDP per capita]]</f>
        <v>0.685015624795838</v>
      </c>
    </row>
    <row r="108" spans="1:6" x14ac:dyDescent="0.35">
      <c r="A108">
        <v>2006</v>
      </c>
      <c r="B108" s="1">
        <v>24809.040000000001</v>
      </c>
      <c r="C108" s="1">
        <v>36840.104857142898</v>
      </c>
      <c r="D108" s="1">
        <f>_7C_GDPPC_year_PTvsWE[[#This Row],[Western Europe/GDP per capita]]-_7C_GDPPC_year_PTvsWE[[#This Row],[Focus/GDP per capita]]</f>
        <v>12031.064857142897</v>
      </c>
      <c r="E108" t="str">
        <f>IF(_7C_GDPPC_year_PTvsWE[[#This Row],[Year]]=1900,"first",IF(_7C_GDPPC_year_PTvsWE[[#This Row],[Difference]]&gt;D107,"yes","no"))</f>
        <v>yes</v>
      </c>
      <c r="F108" s="2">
        <f>_7C_GDPPC_year_PTvsWE[[#This Row],[Focus/GDP per capita]]/_7C_GDPPC_year_PTvsWE[[#This Row],[Western Europe/GDP per capita]]</f>
        <v>0.67342479333876804</v>
      </c>
    </row>
    <row r="109" spans="1:6" x14ac:dyDescent="0.35">
      <c r="A109">
        <v>2007</v>
      </c>
      <c r="B109" s="1">
        <v>25477.205000000002</v>
      </c>
      <c r="C109" s="1">
        <v>37838.868571428597</v>
      </c>
      <c r="D109" s="1">
        <f>_7C_GDPPC_year_PTvsWE[[#This Row],[Western Europe/GDP per capita]]-_7C_GDPPC_year_PTvsWE[[#This Row],[Focus/GDP per capita]]</f>
        <v>12361.663571428595</v>
      </c>
      <c r="E109" t="str">
        <f>IF(_7C_GDPPC_year_PTvsWE[[#This Row],[Year]]=1900,"first",IF(_7C_GDPPC_year_PTvsWE[[#This Row],[Difference]]&gt;D108,"yes","no"))</f>
        <v>yes</v>
      </c>
      <c r="F109" s="2">
        <f>_7C_GDPPC_year_PTvsWE[[#This Row],[Focus/GDP per capita]]/_7C_GDPPC_year_PTvsWE[[#This Row],[Western Europe/GDP per capita]]</f>
        <v>0.67330779068899937</v>
      </c>
    </row>
    <row r="110" spans="1:6" x14ac:dyDescent="0.35">
      <c r="A110">
        <v>2008</v>
      </c>
      <c r="B110" s="1">
        <v>25590.880000000001</v>
      </c>
      <c r="C110" s="1">
        <v>37553.2718571429</v>
      </c>
      <c r="D110" s="1">
        <f>_7C_GDPPC_year_PTvsWE[[#This Row],[Western Europe/GDP per capita]]-_7C_GDPPC_year_PTvsWE[[#This Row],[Focus/GDP per capita]]</f>
        <v>11962.391857142899</v>
      </c>
      <c r="E110" t="str">
        <f>IF(_7C_GDPPC_year_PTvsWE[[#This Row],[Year]]=1900,"first",IF(_7C_GDPPC_year_PTvsWE[[#This Row],[Difference]]&gt;D109,"yes","no"))</f>
        <v>no</v>
      </c>
      <c r="F110" s="2">
        <f>_7C_GDPPC_year_PTvsWE[[#This Row],[Focus/GDP per capita]]/_7C_GDPPC_year_PTvsWE[[#This Row],[Western Europe/GDP per capita]]</f>
        <v>0.68145540280353589</v>
      </c>
    </row>
    <row r="111" spans="1:6" x14ac:dyDescent="0.35">
      <c r="A111">
        <v>2009</v>
      </c>
      <c r="B111" s="1">
        <v>24902.456999999999</v>
      </c>
      <c r="C111" s="1">
        <v>36062.437714285697</v>
      </c>
      <c r="D111" s="1">
        <f>_7C_GDPPC_year_PTvsWE[[#This Row],[Western Europe/GDP per capita]]-_7C_GDPPC_year_PTvsWE[[#This Row],[Focus/GDP per capita]]</f>
        <v>11159.980714285699</v>
      </c>
      <c r="E111" t="str">
        <f>IF(_7C_GDPPC_year_PTvsWE[[#This Row],[Year]]=1900,"first",IF(_7C_GDPPC_year_PTvsWE[[#This Row],[Difference]]&gt;D110,"yes","no"))</f>
        <v>no</v>
      </c>
      <c r="F111" s="2">
        <f>_7C_GDPPC_year_PTvsWE[[#This Row],[Focus/GDP per capita]]/_7C_GDPPC_year_PTvsWE[[#This Row],[Western Europe/GDP per capita]]</f>
        <v>0.69053726199255772</v>
      </c>
    </row>
    <row r="112" spans="1:6" x14ac:dyDescent="0.35">
      <c r="A112">
        <v>2010</v>
      </c>
      <c r="B112" s="1">
        <v>25463.164000000001</v>
      </c>
      <c r="C112" s="1">
        <v>36661.322285714297</v>
      </c>
      <c r="D112" s="1">
        <f>_7C_GDPPC_year_PTvsWE[[#This Row],[Western Europe/GDP per capita]]-_7C_GDPPC_year_PTvsWE[[#This Row],[Focus/GDP per capita]]</f>
        <v>11198.158285714297</v>
      </c>
      <c r="E112" t="str">
        <f>IF(_7C_GDPPC_year_PTvsWE[[#This Row],[Year]]=1900,"first",IF(_7C_GDPPC_year_PTvsWE[[#This Row],[Difference]]&gt;D111,"yes","no"))</f>
        <v>yes</v>
      </c>
      <c r="F112" s="2">
        <f>_7C_GDPPC_year_PTvsWE[[#This Row],[Focus/GDP per capita]]/_7C_GDPPC_year_PTvsWE[[#This Row],[Western Europe/GDP per capita]]</f>
        <v>0.69455116216367763</v>
      </c>
    </row>
    <row r="113" spans="1:6" x14ac:dyDescent="0.35">
      <c r="A113">
        <v>2011</v>
      </c>
      <c r="B113" s="1">
        <v>25133</v>
      </c>
      <c r="C113" s="1">
        <v>36870</v>
      </c>
      <c r="D113" s="1">
        <f>_7C_GDPPC_year_PTvsWE[[#This Row],[Western Europe/GDP per capita]]-_7C_GDPPC_year_PTvsWE[[#This Row],[Focus/GDP per capita]]</f>
        <v>11737</v>
      </c>
      <c r="E113" t="str">
        <f>IF(_7C_GDPPC_year_PTvsWE[[#This Row],[Year]]=1900,"first",IF(_7C_GDPPC_year_PTvsWE[[#This Row],[Difference]]&gt;D112,"yes","no"))</f>
        <v>yes</v>
      </c>
      <c r="F113" s="2">
        <f>_7C_GDPPC_year_PTvsWE[[#This Row],[Focus/GDP per capita]]/_7C_GDPPC_year_PTvsWE[[#This Row],[Western Europe/GDP per capita]]</f>
        <v>0.6816653105505831</v>
      </c>
    </row>
    <row r="114" spans="1:6" x14ac:dyDescent="0.35">
      <c r="A114">
        <v>2012</v>
      </c>
      <c r="B114" s="1">
        <v>24211.437999999998</v>
      </c>
      <c r="C114" s="1">
        <v>36121.289571428599</v>
      </c>
      <c r="D114" s="1">
        <f>_7C_GDPPC_year_PTvsWE[[#This Row],[Western Europe/GDP per capita]]-_7C_GDPPC_year_PTvsWE[[#This Row],[Focus/GDP per capita]]</f>
        <v>11909.8515714286</v>
      </c>
      <c r="E114" t="str">
        <f>IF(_7C_GDPPC_year_PTvsWE[[#This Row],[Year]]=1900,"first",IF(_7C_GDPPC_year_PTvsWE[[#This Row],[Difference]]&gt;D113,"yes","no"))</f>
        <v>yes</v>
      </c>
      <c r="F114" s="2">
        <f>_7C_GDPPC_year_PTvsWE[[#This Row],[Focus/GDP per capita]]/_7C_GDPPC_year_PTvsWE[[#This Row],[Western Europe/GDP per capita]]</f>
        <v>0.6702816617918006</v>
      </c>
    </row>
    <row r="115" spans="1:6" x14ac:dyDescent="0.35">
      <c r="A115">
        <v>2013</v>
      </c>
      <c r="B115" s="1">
        <v>24119.96</v>
      </c>
      <c r="C115" s="1">
        <v>36048.197999999997</v>
      </c>
      <c r="D115" s="1">
        <f>_7C_GDPPC_year_PTvsWE[[#This Row],[Western Europe/GDP per capita]]-_7C_GDPPC_year_PTvsWE[[#This Row],[Focus/GDP per capita]]</f>
        <v>11928.237999999998</v>
      </c>
      <c r="E115" t="str">
        <f>IF(_7C_GDPPC_year_PTvsWE[[#This Row],[Year]]=1900,"first",IF(_7C_GDPPC_year_PTvsWE[[#This Row],[Difference]]&gt;D114,"yes","no"))</f>
        <v>yes</v>
      </c>
      <c r="F115" s="2">
        <f>_7C_GDPPC_year_PTvsWE[[#This Row],[Focus/GDP per capita]]/_7C_GDPPC_year_PTvsWE[[#This Row],[Western Europe/GDP per capita]]</f>
        <v>0.66910307139347158</v>
      </c>
    </row>
    <row r="116" spans="1:6" x14ac:dyDescent="0.35">
      <c r="A116">
        <v>2014</v>
      </c>
      <c r="B116" s="1">
        <v>24442.386999999999</v>
      </c>
      <c r="C116" s="1">
        <v>36718.222428571396</v>
      </c>
      <c r="D116" s="1">
        <f>_7C_GDPPC_year_PTvsWE[[#This Row],[Western Europe/GDP per capita]]-_7C_GDPPC_year_PTvsWE[[#This Row],[Focus/GDP per capita]]</f>
        <v>12275.835428571398</v>
      </c>
      <c r="E116" t="str">
        <f>IF(_7C_GDPPC_year_PTvsWE[[#This Row],[Year]]=1900,"first",IF(_7C_GDPPC_year_PTvsWE[[#This Row],[Difference]]&gt;D115,"yes","no"))</f>
        <v>yes</v>
      </c>
      <c r="F116" s="2">
        <f>_7C_GDPPC_year_PTvsWE[[#This Row],[Focus/GDP per capita]]/_7C_GDPPC_year_PTvsWE[[#This Row],[Western Europe/GDP per capita]]</f>
        <v>0.66567457200707914</v>
      </c>
    </row>
    <row r="117" spans="1:6" x14ac:dyDescent="0.35">
      <c r="A117">
        <v>2015</v>
      </c>
      <c r="B117" s="1">
        <v>24983.701000000001</v>
      </c>
      <c r="C117" s="1">
        <v>37459.146142857098</v>
      </c>
      <c r="D117" s="1">
        <f>_7C_GDPPC_year_PTvsWE[[#This Row],[Western Europe/GDP per capita]]-_7C_GDPPC_year_PTvsWE[[#This Row],[Focus/GDP per capita]]</f>
        <v>12475.445142857097</v>
      </c>
      <c r="E117" t="str">
        <f>IF(_7C_GDPPC_year_PTvsWE[[#This Row],[Year]]=1900,"first",IF(_7C_GDPPC_year_PTvsWE[[#This Row],[Difference]]&gt;D116,"yes","no"))</f>
        <v>yes</v>
      </c>
      <c r="F117" s="2">
        <f>_7C_GDPPC_year_PTvsWE[[#This Row],[Focus/GDP per capita]]/_7C_GDPPC_year_PTvsWE[[#This Row],[Western Europe/GDP per capita]]</f>
        <v>0.66695863554177737</v>
      </c>
    </row>
    <row r="118" spans="1:6" x14ac:dyDescent="0.35">
      <c r="A118">
        <v>2016</v>
      </c>
      <c r="B118" s="1">
        <v>25568.695</v>
      </c>
      <c r="C118" s="1">
        <v>37902.989000000001</v>
      </c>
      <c r="D118" s="1">
        <f>_7C_GDPPC_year_PTvsWE[[#This Row],[Western Europe/GDP per capita]]-_7C_GDPPC_year_PTvsWE[[#This Row],[Focus/GDP per capita]]</f>
        <v>12334.294000000002</v>
      </c>
      <c r="E118" t="str">
        <f>IF(_7C_GDPPC_year_PTvsWE[[#This Row],[Year]]=1900,"first",IF(_7C_GDPPC_year_PTvsWE[[#This Row],[Difference]]&gt;D117,"yes","no"))</f>
        <v>no</v>
      </c>
      <c r="F118" s="2">
        <f>_7C_GDPPC_year_PTvsWE[[#This Row],[Focus/GDP per capita]]/_7C_GDPPC_year_PTvsWE[[#This Row],[Western Europe/GDP per capita]]</f>
        <v>0.67458255073234463</v>
      </c>
    </row>
    <row r="119" spans="1:6" x14ac:dyDescent="0.35">
      <c r="A119">
        <v>2017</v>
      </c>
      <c r="B119" s="1">
        <v>26529.986000000001</v>
      </c>
      <c r="C119" s="1">
        <v>38737.243999999999</v>
      </c>
      <c r="D119" s="1">
        <f>_7C_GDPPC_year_PTvsWE[[#This Row],[Western Europe/GDP per capita]]-_7C_GDPPC_year_PTvsWE[[#This Row],[Focus/GDP per capita]]</f>
        <v>12207.257999999998</v>
      </c>
      <c r="E119" t="str">
        <f>IF(_7C_GDPPC_year_PTvsWE[[#This Row],[Year]]=1900,"first",IF(_7C_GDPPC_year_PTvsWE[[#This Row],[Difference]]&gt;D118,"yes","no"))</f>
        <v>no</v>
      </c>
      <c r="F119" s="2">
        <f>_7C_GDPPC_year_PTvsWE[[#This Row],[Focus/GDP per capita]]/_7C_GDPPC_year_PTvsWE[[#This Row],[Western Europe/GDP per capita]]</f>
        <v>0.68487025044941252</v>
      </c>
    </row>
    <row r="120" spans="1:6" x14ac:dyDescent="0.35">
      <c r="A120">
        <v>2018</v>
      </c>
      <c r="B120" s="1">
        <v>27329.69</v>
      </c>
      <c r="C120" s="1">
        <v>39513.611285714302</v>
      </c>
      <c r="D120" s="1">
        <f>_7C_GDPPC_year_PTvsWE[[#This Row],[Western Europe/GDP per capita]]-_7C_GDPPC_year_PTvsWE[[#This Row],[Focus/GDP per capita]]</f>
        <v>12183.921285714303</v>
      </c>
      <c r="E120" t="str">
        <f>IF(_7C_GDPPC_year_PTvsWE[[#This Row],[Year]]=1900,"first",IF(_7C_GDPPC_year_PTvsWE[[#This Row],[Difference]]&gt;D119,"yes","no"))</f>
        <v>no</v>
      </c>
      <c r="F120" s="2">
        <f>_7C_GDPPC_year_PTvsWE[[#This Row],[Focus/GDP per capita]]/_7C_GDPPC_year_PTvsWE[[#This Row],[Western Europe/GDP per capita]]</f>
        <v>0.69165254986148883</v>
      </c>
    </row>
    <row r="121" spans="1:6" x14ac:dyDescent="0.35">
      <c r="A121">
        <v>2019</v>
      </c>
      <c r="B121" s="1">
        <v>28056.057000000001</v>
      </c>
      <c r="C121" s="1">
        <v>40138.648285714298</v>
      </c>
      <c r="D121" s="1">
        <f>_7C_GDPPC_year_PTvsWE[[#This Row],[Western Europe/GDP per capita]]-_7C_GDPPC_year_PTvsWE[[#This Row],[Focus/GDP per capita]]</f>
        <v>12082.591285714298</v>
      </c>
      <c r="E121" t="str">
        <f>IF(_7C_GDPPC_year_PTvsWE[[#This Row],[Year]]=1900,"first",IF(_7C_GDPPC_year_PTvsWE[[#This Row],[Difference]]&gt;D120,"yes","no"))</f>
        <v>no</v>
      </c>
      <c r="F121" s="2">
        <f>_7C_GDPPC_year_PTvsWE[[#This Row],[Focus/GDP per capita]]/_7C_GDPPC_year_PTvsWE[[#This Row],[Western Europe/GDP per capita]]</f>
        <v>0.6989786203135645</v>
      </c>
    </row>
    <row r="122" spans="1:6" x14ac:dyDescent="0.35">
      <c r="A122">
        <v>2020</v>
      </c>
      <c r="B122" s="1">
        <v>25700.282999999999</v>
      </c>
      <c r="C122" s="1">
        <v>37113.657857142898</v>
      </c>
      <c r="D122" s="1">
        <f>_7C_GDPPC_year_PTvsWE[[#This Row],[Western Europe/GDP per capita]]-_7C_GDPPC_year_PTvsWE[[#This Row],[Focus/GDP per capita]]</f>
        <v>11413.374857142899</v>
      </c>
      <c r="E122" t="str">
        <f>IF(_7C_GDPPC_year_PTvsWE[[#This Row],[Year]]=1900,"first",IF(_7C_GDPPC_year_PTvsWE[[#This Row],[Difference]]&gt;D121,"yes","no"))</f>
        <v>no</v>
      </c>
      <c r="F122" s="2">
        <f>_7C_GDPPC_year_PTvsWE[[#This Row],[Focus/GDP per capita]]/_7C_GDPPC_year_PTvsWE[[#This Row],[Western Europe/GDP per capita]]</f>
        <v>0.69247507478042136</v>
      </c>
    </row>
    <row r="123" spans="1:6" x14ac:dyDescent="0.35">
      <c r="A123">
        <v>2021</v>
      </c>
      <c r="B123" s="1">
        <v>27138.478999999999</v>
      </c>
      <c r="C123" s="1">
        <v>39108.9708571429</v>
      </c>
      <c r="D123" s="1">
        <f>_7C_GDPPC_year_PTvsWE[[#This Row],[Western Europe/GDP per capita]]-_7C_GDPPC_year_PTvsWE[[#This Row],[Focus/GDP per capita]]</f>
        <v>11970.491857142901</v>
      </c>
      <c r="E123" t="str">
        <f>IF(_7C_GDPPC_year_PTvsWE[[#This Row],[Year]]=1900,"first",IF(_7C_GDPPC_year_PTvsWE[[#This Row],[Difference]]&gt;D122,"yes","no"))</f>
        <v>yes</v>
      </c>
      <c r="F123" s="2">
        <f>_7C_GDPPC_year_PTvsWE[[#This Row],[Focus/GDP per capita]]/_7C_GDPPC_year_PTvsWE[[#This Row],[Western Europe/GDP per capita]]</f>
        <v>0.69391953828525255</v>
      </c>
    </row>
    <row r="124" spans="1:6" x14ac:dyDescent="0.35">
      <c r="A124">
        <v>2022</v>
      </c>
      <c r="B124" s="1">
        <v>28992.059000000001</v>
      </c>
      <c r="C124" s="1">
        <v>40496.366571428603</v>
      </c>
      <c r="D124" s="1">
        <f>_7C_GDPPC_year_PTvsWE[[#This Row],[Western Europe/GDP per capita]]-_7C_GDPPC_year_PTvsWE[[#This Row],[Focus/GDP per capita]]</f>
        <v>11504.307571428602</v>
      </c>
      <c r="E124" t="str">
        <f>IF(_7C_GDPPC_year_PTvsWE[[#This Row],[Year]]=1900,"first",IF(_7C_GDPPC_year_PTvsWE[[#This Row],[Difference]]&gt;D123,"yes","no"))</f>
        <v>no</v>
      </c>
      <c r="F124" s="2">
        <f>_7C_GDPPC_year_PTvsWE[[#This Row],[Focus/GDP per capita]]/_7C_GDPPC_year_PTvsWE[[#This Row],[Western Europe/GDP per capita]]</f>
        <v>0.71591753667240765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006A8-9324-40D1-B7F8-A2CD2C6DC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7C_GDPPC_year_PTvsWE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Pereira de Brito Líbano Monteiro</dc:creator>
  <cp:lastModifiedBy>Rita Pereira de Brito Líbano Monteiro</cp:lastModifiedBy>
  <dcterms:created xsi:type="dcterms:W3CDTF">2026-10-21T10:43:26Z</dcterms:created>
  <dcterms:modified xsi:type="dcterms:W3CDTF">2026-10-21T10:45:28Z</dcterms:modified>
</cp:coreProperties>
</file>
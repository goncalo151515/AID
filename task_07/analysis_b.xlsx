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nicopt-my.sharepoint.com/personal/ist1110754_m365_tecnico_pt/Documents/Documentos/.IST/26-27/AID/Projeto/Task7/task_07/"/>
    </mc:Choice>
  </mc:AlternateContent>
  <xr:revisionPtr revIDLastSave="6" documentId="8_{57B4E824-5118-4D14-89ED-31CD85C1A25F}" xr6:coauthVersionLast="47" xr6:coauthVersionMax="47" xr10:uidLastSave="{2689B07D-1ABF-46A6-9056-D20BEEDAB9E6}"/>
  <bookViews>
    <workbookView xWindow="-110" yWindow="-110" windowWidth="19420" windowHeight="10300" xr2:uid="{E88147BD-1660-4A54-A484-DA9E2E546DED}"/>
  </bookViews>
  <sheets>
    <sheet name="7B_GDPPC_decade_PTvsWE" sheetId="3" r:id="rId1"/>
    <sheet name="7B_GDPPC_decade_PTvsWEall" sheetId="2" r:id="rId2"/>
    <sheet name="Portugal diff WE" sheetId="1" r:id="rId3"/>
  </sheets>
  <definedNames>
    <definedName name="ExternalData_1" localSheetId="0" hidden="1">'7B_GDPPC_decade_PTvsWE'!$A$1:$C$14</definedName>
    <definedName name="ExternalData_1" localSheetId="1" hidden="1">'7B_GDPPC_decade_PTvsWEall'!$A$1:$I$14</definedName>
    <definedName name="ExternalData_1" localSheetId="2" hidden="1">'Portugal diff WE'!$A$1:$I$14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3" l="1"/>
  <c r="D13" i="3"/>
  <c r="D12" i="3"/>
  <c r="D11" i="3"/>
  <c r="D10" i="3"/>
  <c r="D9" i="3"/>
  <c r="D8" i="3"/>
  <c r="D7" i="3"/>
  <c r="D6" i="3"/>
  <c r="D5" i="3"/>
  <c r="D4" i="3"/>
  <c r="D3" i="3"/>
  <c r="D2" i="3"/>
  <c r="G2" i="1"/>
  <c r="D2" i="1"/>
  <c r="I3" i="1"/>
  <c r="I4" i="1"/>
  <c r="I5" i="1"/>
  <c r="I6" i="1"/>
  <c r="I7" i="1"/>
  <c r="I8" i="1"/>
  <c r="I9" i="1"/>
  <c r="I10" i="1"/>
  <c r="I11" i="1"/>
  <c r="I12" i="1"/>
  <c r="I13" i="1"/>
  <c r="I1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F3" i="1"/>
  <c r="F4" i="1"/>
  <c r="F5" i="1"/>
  <c r="F6" i="1"/>
  <c r="F7" i="1"/>
  <c r="F8" i="1"/>
  <c r="F9" i="1"/>
  <c r="F10" i="1"/>
  <c r="F11" i="1"/>
  <c r="F12" i="1"/>
  <c r="F13" i="1"/>
  <c r="F14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C3" i="1"/>
  <c r="C4" i="1"/>
  <c r="C5" i="1"/>
  <c r="C6" i="1"/>
  <c r="C7" i="1"/>
  <c r="C8" i="1"/>
  <c r="C9" i="1"/>
  <c r="C10" i="1"/>
  <c r="C11" i="1"/>
  <c r="C12" i="1"/>
  <c r="C13" i="1"/>
  <c r="C14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1B475A-7B87-4EF1-A0CA-946427AE0620}" keepAlive="1" name="Query - 7B_GDPPC_decade_PTvsWE" description="Connection to the '7B_GDPPC_decade_PTvsWE' query in the workbook." type="5" refreshedVersion="8" background="1" saveData="1">
    <dbPr connection="Provider=Microsoft.Mashup.OleDb.1;Data Source=$Workbook$;Location=7B_GDPPC_decade_PTvsWE;Extended Properties=&quot;&quot;" command="SELECT * FROM [7B_GDPPC_decade_PTvsWE]"/>
  </connection>
  <connection id="2" xr16:uid="{371293A7-1E13-460A-A4EF-4A5BD0EE2689}" keepAlive="1" name="Query - 7B_GDPPC_decade_PTvsWEall" description="Connection to the '7B_GDPPC_decade_PTvsWEall' query in the workbook." type="5" refreshedVersion="8" background="1" saveData="1">
    <dbPr connection="Provider=Microsoft.Mashup.OleDb.1;Data Source=$Workbook$;Location=7B_GDPPC_decade_PTvsWEall;Extended Properties=&quot;&quot;" command="SELECT * FROM [7B_GDPPC_decade_PTvsWEall]"/>
  </connection>
  <connection id="3" xr16:uid="{6B36BDAC-7EF9-4DBB-8FAB-F0729B838961}" keepAlive="1" name="Query - 7B_GDPPC_decade_PTvsWEall (2)" description="Connection to the '7B_GDPPC_decade_PTvsWEall (2)' query in the workbook." type="5" refreshedVersion="8" background="1" saveData="1">
    <dbPr connection="Provider=Microsoft.Mashup.OleDb.1;Data Source=$Workbook$;Location=&quot;7B_GDPPC_decade_PTvsWEall (2)&quot;;Extended Properties=&quot;&quot;" command="SELECT * FROM [7B_GDPPC_decade_PTvsWEall (2)]"/>
  </connection>
</connections>
</file>

<file path=xl/sharedStrings.xml><?xml version="1.0" encoding="utf-8"?>
<sst xmlns="http://schemas.openxmlformats.org/spreadsheetml/2006/main" count="26" uniqueCount="21">
  <si>
    <t>Decade</t>
  </si>
  <si>
    <t>Portugal/GDP per capita</t>
  </si>
  <si>
    <t>Belgium/GDP per capita</t>
  </si>
  <si>
    <t>France/GDP per capita</t>
  </si>
  <si>
    <t>Germany/GDP per capita</t>
  </si>
  <si>
    <t>Greece/GDP per capita</t>
  </si>
  <si>
    <t>Ireland/GDP per capita</t>
  </si>
  <si>
    <t>Italy/GDP per capita</t>
  </si>
  <si>
    <t>Spain/GDP per capita</t>
  </si>
  <si>
    <t/>
  </si>
  <si>
    <t>Belgium</t>
  </si>
  <si>
    <t>France</t>
  </si>
  <si>
    <t>Germany</t>
  </si>
  <si>
    <t>Greece</t>
  </si>
  <si>
    <t>Ireland</t>
  </si>
  <si>
    <t>Italy</t>
  </si>
  <si>
    <t>Spain</t>
  </si>
  <si>
    <t>Focus/GDP per capita</t>
  </si>
  <si>
    <t>Western Europe/GDP per capita</t>
  </si>
  <si>
    <t>Difference</t>
  </si>
  <si>
    <t>Note: 2020 is a partial decade, only up to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</si>
</sst>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20">
    <dxf>
      <font>
        <b/>
        <i val="0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57F78A-3ED4-45E2-B74C-C8517EA8F074}" autoFormatId="16" applyNumberFormats="0" applyBorderFormats="0" applyFontFormats="0" applyPatternFormats="0" applyAlignmentFormats="0" applyWidthHeightFormats="0">
  <queryTableRefresh nextId="6" unboundColumnsRight="1">
    <queryTableFields count="4">
      <queryTableField id="1" name="Decade" tableColumnId="1"/>
      <queryTableField id="2" name="Focus/GDP per capita" tableColumnId="2"/>
      <queryTableField id="3" name="Western Europe/GDP per capita" tableColumnId="3"/>
      <queryTableField id="4" dataBound="0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9A745C2-109E-42BD-99EF-B20F8F47AF3E}" autoFormatId="16" applyNumberFormats="0" applyBorderFormats="0" applyFontFormats="0" applyPatternFormats="0" applyAlignmentFormats="0" applyWidthHeightFormats="0">
  <queryTableRefresh nextId="10">
    <queryTableFields count="9">
      <queryTableField id="1" name="Decade" tableColumnId="1"/>
      <queryTableField id="2" name="Portugal/GDP per capita" tableColumnId="2"/>
      <queryTableField id="3" name="Belgium/GDP per capita" tableColumnId="3"/>
      <queryTableField id="4" name="France/GDP per capita" tableColumnId="4"/>
      <queryTableField id="5" name="Germany/GDP per capita" tableColumnId="5"/>
      <queryTableField id="6" name="Greece/GDP per capita" tableColumnId="6"/>
      <queryTableField id="7" name="Ireland/GDP per capita" tableColumnId="7"/>
      <queryTableField id="8" name="Italy/GDP per capita" tableColumnId="8"/>
      <queryTableField id="9" name="Spain/GDP per capita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89DB339-D149-440B-94E2-95CB47836B05}" autoFormatId="16" applyNumberFormats="0" applyBorderFormats="0" applyFontFormats="0" applyPatternFormats="0" applyAlignmentFormats="0" applyWidthHeightFormats="0">
  <queryTableRefresh nextId="10">
    <queryTableFields count="9">
      <queryTableField id="1" name="Decade" tableColumnId="1"/>
      <queryTableField id="2" name="Portugal/GDP per capita" tableColumnId="2"/>
      <queryTableField id="3" name="Belgium/GDP per capita" tableColumnId="3"/>
      <queryTableField id="4" name="France/GDP per capita" tableColumnId="4"/>
      <queryTableField id="5" name="Germany/GDP per capita" tableColumnId="5"/>
      <queryTableField id="6" name="Greece/GDP per capita" tableColumnId="6"/>
      <queryTableField id="7" name="Ireland/GDP per capita" tableColumnId="7"/>
      <queryTableField id="8" name="Italy/GDP per capita" tableColumnId="8"/>
      <queryTableField id="9" name="Spain/GDP per capita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D3317B-1213-4035-8792-84732391B48D}" name="_7B_GDPPC_decade_PTvsWE" displayName="_7B_GDPPC_decade_PTvsWE" ref="A1:D14" tableType="queryTable" totalsRowShown="0">
  <autoFilter ref="A1:D14" xr:uid="{C4D3317B-1213-4035-8792-84732391B48D}"/>
  <tableColumns count="4">
    <tableColumn id="1" xr3:uid="{CCC5A557-9341-4857-9D6C-9FC76C140987}" uniqueName="1" name="Decade" queryTableFieldId="1"/>
    <tableColumn id="2" xr3:uid="{3E1B5FF6-F477-460A-BA73-5F7D2A8B5528}" uniqueName="2" name="Focus/GDP per capita" queryTableFieldId="2" dataDxfId="11"/>
    <tableColumn id="3" xr3:uid="{7752ABE8-AF09-44AC-AB1C-995B12A2395D}" uniqueName="3" name="Western Europe/GDP per capita" queryTableFieldId="3" dataDxfId="10"/>
    <tableColumn id="4" xr3:uid="{F406D1BA-7E93-4A47-BA69-4FDD2117330A}" uniqueName="4" name="Difference" queryTableFieldId="4" dataDxfId="9">
      <calculatedColumnFormula>_7B_GDPPC_decade_PTvsWE[[#This Row],[Western Europe/GDP per capita]]-_7B_GDPPC_decade_PTvsWE[[#This Row],[Focus/GDP per capita]]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520B43-E24D-40C1-8168-9BE8B0EF9B7B}" name="_7B_GDPPC_decade_PTvsWEall" displayName="_7B_GDPPC_decade_PTvsWEall" ref="A1:I14" tableType="queryTable" totalsRowShown="0">
  <autoFilter ref="A1:I14" xr:uid="{28520B43-E24D-40C1-8168-9BE8B0EF9B7B}"/>
  <tableColumns count="9">
    <tableColumn id="1" xr3:uid="{F072AA31-7D64-4BF9-94FE-A4287834A246}" uniqueName="1" name="Decade" queryTableFieldId="1"/>
    <tableColumn id="2" xr3:uid="{4658ADBD-D7AB-412B-9B15-70544AE03561}" uniqueName="2" name="Portugal/GDP per capita" queryTableFieldId="2" dataDxfId="8"/>
    <tableColumn id="3" xr3:uid="{A014F13D-72E3-40E7-8068-62252E6846B6}" uniqueName="3" name="Belgium/GDP per capita" queryTableFieldId="3" dataDxfId="7"/>
    <tableColumn id="4" xr3:uid="{3288CBBE-E65D-4806-8C4F-8BF8601AB482}" uniqueName="4" name="France/GDP per capita" queryTableFieldId="4" dataDxfId="6"/>
    <tableColumn id="5" xr3:uid="{EAAD2D22-E4B1-4AE5-B773-E476198A69BF}" uniqueName="5" name="Germany/GDP per capita" queryTableFieldId="5" dataDxfId="5"/>
    <tableColumn id="6" xr3:uid="{F24BB3FA-ADCF-4185-8518-6BDA49720148}" uniqueName="6" name="Greece/GDP per capita" queryTableFieldId="6" dataDxfId="4"/>
    <tableColumn id="7" xr3:uid="{E733228E-B15F-45D6-A676-9650E251FDF3}" uniqueName="7" name="Ireland/GDP per capita" queryTableFieldId="7" dataDxfId="3"/>
    <tableColumn id="8" xr3:uid="{D3D99661-E4AC-463C-BE5E-5A9AD388BC2C}" uniqueName="8" name="Italy/GDP per capita" queryTableFieldId="8" dataDxfId="2"/>
    <tableColumn id="9" xr3:uid="{D815EC25-30E3-430F-A810-77CE82185355}" uniqueName="9" name="Spain/GDP per capita" queryTableFieldId="9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6D029E-6386-41EB-8294-5BAE4944A796}" name="_7B_GDPPC_decade_PTvsWEall3" displayName="_7B_GDPPC_decade_PTvsWEall3" ref="A1:I14" tableType="queryTable" totalsRowShown="0">
  <autoFilter ref="A1:I14" xr:uid="{D26D029E-6386-41EB-8294-5BAE4944A796}"/>
  <tableColumns count="9">
    <tableColumn id="1" xr3:uid="{7D9A9234-1E30-4F38-A418-5E152FF25C1C}" uniqueName="1" name="Decade" queryTableFieldId="1"/>
    <tableColumn id="2" xr3:uid="{21190688-D101-45B9-BA44-13E380CDCF30}" uniqueName="2" name="Portugal/GDP per capita" queryTableFieldId="2" dataDxfId="19"/>
    <tableColumn id="3" xr3:uid="{5CDBF4EB-517F-4D26-B4D3-A18742105648}" uniqueName="3" name="Belgium" queryTableFieldId="3" dataDxfId="18"/>
    <tableColumn id="4" xr3:uid="{7EF61EC0-C67A-47BA-B7E0-81E25CA0F654}" uniqueName="4" name="France" queryTableFieldId="4" dataDxfId="17"/>
    <tableColumn id="5" xr3:uid="{8EA5768F-035D-434B-B9DD-C57A0B98F9AB}" uniqueName="5" name="Germany" queryTableFieldId="5" dataDxfId="16"/>
    <tableColumn id="6" xr3:uid="{0CE9C31C-3D80-46C5-85FF-5D9913F6FE56}" uniqueName="6" name="Greece" queryTableFieldId="6" dataDxfId="15"/>
    <tableColumn id="7" xr3:uid="{9DB7F930-1301-42F4-A625-236C80980E24}" uniqueName="7" name="Ireland" queryTableFieldId="7" dataDxfId="14"/>
    <tableColumn id="8" xr3:uid="{2BD3BF71-DA90-4A74-9E11-C6C74D8C8C18}" uniqueName="8" name="Italy" queryTableFieldId="8" dataDxfId="13"/>
    <tableColumn id="9" xr3:uid="{6468FC32-2EE9-4EBD-AC00-7F29B9915B99}" uniqueName="9" name="Spain" queryTableFieldId="9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493B2-F207-456A-B878-9CC998B00BBD}">
  <dimension ref="A1:D16"/>
  <sheetViews>
    <sheetView tabSelected="1" workbookViewId="0">
      <selection activeCell="A16" sqref="A16"/>
    </sheetView>
  </sheetViews>
  <sheetFormatPr defaultRowHeight="14.5" x14ac:dyDescent="0.35"/>
  <cols>
    <col min="1" max="1" width="9.453125" bestFit="1" customWidth="1"/>
    <col min="2" max="2" width="21.36328125" bestFit="1" customWidth="1"/>
    <col min="3" max="3" width="29.6328125" bestFit="1" customWidth="1"/>
    <col min="4" max="4" width="11.90625" bestFit="1" customWidth="1"/>
  </cols>
  <sheetData>
    <row r="1" spans="1:4" x14ac:dyDescent="0.35">
      <c r="A1" t="s">
        <v>0</v>
      </c>
      <c r="B1" t="s">
        <v>17</v>
      </c>
      <c r="C1" t="s">
        <v>18</v>
      </c>
      <c r="D1" t="s">
        <v>19</v>
      </c>
    </row>
    <row r="2" spans="1:4" x14ac:dyDescent="0.35">
      <c r="A2">
        <v>1900</v>
      </c>
      <c r="B2" s="1">
        <v>1997.1</v>
      </c>
      <c r="C2" s="1">
        <v>4069.2477566666998</v>
      </c>
      <c r="D2" s="1">
        <f>_7B_GDPPC_decade_PTvsWE[[#This Row],[Western Europe/GDP per capita]]-_7B_GDPPC_decade_PTvsWE[[#This Row],[Focus/GDP per capita]]</f>
        <v>2072.1477566666999</v>
      </c>
    </row>
    <row r="3" spans="1:4" x14ac:dyDescent="0.35">
      <c r="A3">
        <v>1910</v>
      </c>
      <c r="B3" s="1">
        <v>1949.7</v>
      </c>
      <c r="C3" s="1">
        <v>4195.5495803279</v>
      </c>
      <c r="D3" s="1">
        <f>_7B_GDPPC_decade_PTvsWE[[#This Row],[Western Europe/GDP per capita]]-_7B_GDPPC_decade_PTvsWE[[#This Row],[Focus/GDP per capita]]</f>
        <v>2245.8495803279002</v>
      </c>
    </row>
    <row r="4" spans="1:4" x14ac:dyDescent="0.35">
      <c r="A4">
        <v>1920</v>
      </c>
      <c r="B4" s="1">
        <v>2297.8000000000002</v>
      </c>
      <c r="C4" s="1">
        <v>4944.8459289855</v>
      </c>
      <c r="D4" s="1">
        <f>_7B_GDPPC_decade_PTvsWE[[#This Row],[Western Europe/GDP per capita]]-_7B_GDPPC_decade_PTvsWE[[#This Row],[Focus/GDP per capita]]</f>
        <v>2647.0459289854998</v>
      </c>
    </row>
    <row r="5" spans="1:4" x14ac:dyDescent="0.35">
      <c r="A5">
        <v>1930</v>
      </c>
      <c r="B5" s="1">
        <v>2679</v>
      </c>
      <c r="C5" s="1">
        <v>5431.9044557142997</v>
      </c>
      <c r="D5" s="1">
        <f>_7B_GDPPC_decade_PTvsWE[[#This Row],[Western Europe/GDP per capita]]-_7B_GDPPC_decade_PTvsWE[[#This Row],[Focus/GDP per capita]]</f>
        <v>2752.9044557142997</v>
      </c>
    </row>
    <row r="6" spans="1:4" x14ac:dyDescent="0.35">
      <c r="A6">
        <v>1940</v>
      </c>
      <c r="B6" s="1">
        <v>2976.8</v>
      </c>
      <c r="C6" s="1">
        <v>5005.6090385713997</v>
      </c>
      <c r="D6" s="1">
        <f>_7B_GDPPC_decade_PTvsWE[[#This Row],[Western Europe/GDP per capita]]-_7B_GDPPC_decade_PTvsWE[[#This Row],[Focus/GDP per capita]]</f>
        <v>2028.8090385713995</v>
      </c>
    </row>
    <row r="7" spans="1:4" x14ac:dyDescent="0.35">
      <c r="A7">
        <v>1950</v>
      </c>
      <c r="B7" s="1">
        <v>3868.6</v>
      </c>
      <c r="C7" s="1">
        <v>7128.6004085714003</v>
      </c>
      <c r="D7" s="1">
        <f>_7B_GDPPC_decade_PTvsWE[[#This Row],[Western Europe/GDP per capita]]-_7B_GDPPC_decade_PTvsWE[[#This Row],[Focus/GDP per capita]]</f>
        <v>3260.0004085714004</v>
      </c>
    </row>
    <row r="8" spans="1:4" x14ac:dyDescent="0.35">
      <c r="A8">
        <v>1960</v>
      </c>
      <c r="B8" s="1">
        <v>6236.2</v>
      </c>
      <c r="C8" s="1">
        <v>10899.254824285699</v>
      </c>
      <c r="D8" s="1">
        <f>_7B_GDPPC_decade_PTvsWE[[#This Row],[Western Europe/GDP per capita]]-_7B_GDPPC_decade_PTvsWE[[#This Row],[Focus/GDP per capita]]</f>
        <v>4663.0548242856994</v>
      </c>
    </row>
    <row r="9" spans="1:4" x14ac:dyDescent="0.35">
      <c r="A9">
        <v>1970</v>
      </c>
      <c r="B9" s="1">
        <v>10740.1</v>
      </c>
      <c r="C9" s="1">
        <v>16210.935028571401</v>
      </c>
      <c r="D9" s="1">
        <f>_7B_GDPPC_decade_PTvsWE[[#This Row],[Western Europe/GDP per capita]]-_7B_GDPPC_decade_PTvsWE[[#This Row],[Focus/GDP per capita]]</f>
        <v>5470.8350285714005</v>
      </c>
    </row>
    <row r="10" spans="1:4" x14ac:dyDescent="0.35">
      <c r="A10">
        <v>1980</v>
      </c>
      <c r="B10" s="1">
        <v>13892.3</v>
      </c>
      <c r="C10" s="1">
        <v>20082.764492857099</v>
      </c>
      <c r="D10" s="1">
        <f>_7B_GDPPC_decade_PTvsWE[[#This Row],[Western Europe/GDP per capita]]-_7B_GDPPC_decade_PTvsWE[[#This Row],[Focus/GDP per capita]]</f>
        <v>6190.4644928570997</v>
      </c>
    </row>
    <row r="11" spans="1:4" x14ac:dyDescent="0.35">
      <c r="A11">
        <v>1990</v>
      </c>
      <c r="B11" s="1">
        <v>19552.685799999999</v>
      </c>
      <c r="C11" s="1">
        <v>25716.6805285714</v>
      </c>
      <c r="D11" s="1">
        <f>_7B_GDPPC_decade_PTvsWE[[#This Row],[Western Europe/GDP per capita]]-_7B_GDPPC_decade_PTvsWE[[#This Row],[Focus/GDP per capita]]</f>
        <v>6163.9947285714006</v>
      </c>
    </row>
    <row r="12" spans="1:4" x14ac:dyDescent="0.35">
      <c r="A12">
        <v>2000</v>
      </c>
      <c r="B12" s="1">
        <v>24399.768899999999</v>
      </c>
      <c r="C12" s="1">
        <v>34925.420514285703</v>
      </c>
      <c r="D12" s="1">
        <f>_7B_GDPPC_decade_PTvsWE[[#This Row],[Western Europe/GDP per capita]]-_7B_GDPPC_decade_PTvsWE[[#This Row],[Focus/GDP per capita]]</f>
        <v>10525.651614285704</v>
      </c>
    </row>
    <row r="13" spans="1:4" x14ac:dyDescent="0.35">
      <c r="A13">
        <v>2010</v>
      </c>
      <c r="B13" s="1">
        <v>25583.807799999999</v>
      </c>
      <c r="C13" s="1">
        <v>37617.0671</v>
      </c>
      <c r="D13" s="1">
        <f>_7B_GDPPC_decade_PTvsWE[[#This Row],[Western Europe/GDP per capita]]-_7B_GDPPC_decade_PTvsWE[[#This Row],[Focus/GDP per capita]]</f>
        <v>12033.259300000002</v>
      </c>
    </row>
    <row r="14" spans="1:4" x14ac:dyDescent="0.35">
      <c r="A14">
        <v>2020</v>
      </c>
      <c r="B14" s="1">
        <v>27276.940333333299</v>
      </c>
      <c r="C14" s="1">
        <v>38906.331761904803</v>
      </c>
      <c r="D14" s="1">
        <f>_7B_GDPPC_decade_PTvsWE[[#This Row],[Western Europe/GDP per capita]]-_7B_GDPPC_decade_PTvsWE[[#This Row],[Focus/GDP per capita]]</f>
        <v>11629.391428571504</v>
      </c>
    </row>
    <row r="16" spans="1:4" x14ac:dyDescent="0.35">
      <c r="A16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1ED96-7C68-4025-81A9-313E894A7AAE}">
  <dimension ref="A1:I16"/>
  <sheetViews>
    <sheetView workbookViewId="0">
      <selection activeCell="A16" sqref="A16"/>
    </sheetView>
  </sheetViews>
  <sheetFormatPr defaultRowHeight="14.5" x14ac:dyDescent="0.35"/>
  <cols>
    <col min="1" max="1" width="9.453125" bestFit="1" customWidth="1"/>
    <col min="2" max="2" width="23.36328125" bestFit="1" customWidth="1"/>
    <col min="3" max="3" width="23.1796875" customWidth="1"/>
    <col min="4" max="4" width="22.08984375" customWidth="1"/>
    <col min="5" max="5" width="24" customWidth="1"/>
    <col min="6" max="7" width="22.26953125" bestFit="1" customWidth="1"/>
    <col min="8" max="8" width="20" bestFit="1" customWidth="1"/>
    <col min="9" max="9" width="21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1900</v>
      </c>
      <c r="B2" s="1">
        <v>1997.1</v>
      </c>
      <c r="C2" s="1">
        <v>6123.8</v>
      </c>
      <c r="D2" s="1">
        <v>4666.3</v>
      </c>
      <c r="E2" s="1">
        <v>4920.5</v>
      </c>
      <c r="F2" s="1">
        <v>2395.6</v>
      </c>
      <c r="G2" s="1" t="s">
        <v>9</v>
      </c>
      <c r="H2" s="1">
        <v>3533.6</v>
      </c>
      <c r="I2" s="1">
        <v>2775.6865400000002</v>
      </c>
    </row>
    <row r="3" spans="1:9" x14ac:dyDescent="0.35">
      <c r="A3">
        <v>1910</v>
      </c>
      <c r="B3" s="1">
        <v>1949.7</v>
      </c>
      <c r="C3" s="1">
        <v>6099.8</v>
      </c>
      <c r="D3" s="1">
        <v>4996.5</v>
      </c>
      <c r="E3" s="1">
        <v>4995.8</v>
      </c>
      <c r="F3" s="1">
        <v>2226.1</v>
      </c>
      <c r="G3" s="1">
        <v>4361</v>
      </c>
      <c r="H3" s="1">
        <v>3856.2</v>
      </c>
      <c r="I3" s="1">
        <v>2982.3524400000001</v>
      </c>
    </row>
    <row r="4" spans="1:9" x14ac:dyDescent="0.35">
      <c r="A4">
        <v>1920</v>
      </c>
      <c r="B4" s="1">
        <v>2297.8000000000002</v>
      </c>
      <c r="C4" s="1">
        <v>7359.1</v>
      </c>
      <c r="D4" s="1">
        <v>6305</v>
      </c>
      <c r="E4" s="1">
        <v>5478.9</v>
      </c>
      <c r="F4" s="1">
        <v>3263.7</v>
      </c>
      <c r="G4" s="1">
        <v>4185.8888888888996</v>
      </c>
      <c r="H4" s="1">
        <v>4314.1000000000004</v>
      </c>
      <c r="I4" s="1">
        <v>3631.33691</v>
      </c>
    </row>
    <row r="5" spans="1:9" x14ac:dyDescent="0.35">
      <c r="A5">
        <v>1930</v>
      </c>
      <c r="B5" s="1">
        <v>2679</v>
      </c>
      <c r="C5" s="1">
        <v>7730.9</v>
      </c>
      <c r="D5" s="1">
        <v>6891.4</v>
      </c>
      <c r="E5" s="1">
        <v>6703.8</v>
      </c>
      <c r="F5" s="1">
        <v>3907.4</v>
      </c>
      <c r="G5" s="1">
        <v>4704.7</v>
      </c>
      <c r="H5" s="1">
        <v>4699.8</v>
      </c>
      <c r="I5" s="1">
        <v>3385.3311899999999</v>
      </c>
    </row>
    <row r="6" spans="1:9" x14ac:dyDescent="0.35">
      <c r="A6">
        <v>1940</v>
      </c>
      <c r="B6" s="1">
        <v>2976.8</v>
      </c>
      <c r="C6" s="1">
        <v>7150.7</v>
      </c>
      <c r="D6" s="1">
        <v>5661.7</v>
      </c>
      <c r="E6" s="1">
        <v>7031.1</v>
      </c>
      <c r="F6" s="1">
        <v>2530</v>
      </c>
      <c r="G6" s="1">
        <v>4950.6000000000004</v>
      </c>
      <c r="H6" s="1">
        <v>4295.6000000000004</v>
      </c>
      <c r="I6" s="1">
        <v>3419.5632700000001</v>
      </c>
    </row>
    <row r="7" spans="1:9" x14ac:dyDescent="0.35">
      <c r="A7">
        <v>1950</v>
      </c>
      <c r="B7" s="1">
        <v>3868.6</v>
      </c>
      <c r="C7" s="1">
        <v>9718.7000000000007</v>
      </c>
      <c r="D7" s="1">
        <v>9731.7000000000007</v>
      </c>
      <c r="E7" s="1">
        <v>8794.2000000000007</v>
      </c>
      <c r="F7" s="1">
        <v>3949.7</v>
      </c>
      <c r="G7" s="1">
        <v>6028.4</v>
      </c>
      <c r="H7" s="1">
        <v>7270.4</v>
      </c>
      <c r="I7" s="1">
        <v>4407.10286</v>
      </c>
    </row>
    <row r="8" spans="1:9" x14ac:dyDescent="0.35">
      <c r="A8">
        <v>1960</v>
      </c>
      <c r="B8" s="1">
        <v>6236.2</v>
      </c>
      <c r="C8" s="1">
        <v>13362.7</v>
      </c>
      <c r="D8" s="1">
        <v>14367.1</v>
      </c>
      <c r="E8" s="1">
        <v>14244.1</v>
      </c>
      <c r="F8" s="1">
        <v>6895.7</v>
      </c>
      <c r="G8" s="1">
        <v>8061.6</v>
      </c>
      <c r="H8" s="1">
        <v>12198.7</v>
      </c>
      <c r="I8" s="1">
        <v>7164.8837700000004</v>
      </c>
    </row>
    <row r="9" spans="1:9" x14ac:dyDescent="0.35">
      <c r="A9">
        <v>1970</v>
      </c>
      <c r="B9" s="1">
        <v>10740.1</v>
      </c>
      <c r="C9" s="1">
        <v>19775.900000000001</v>
      </c>
      <c r="D9" s="1">
        <v>20827.900000000001</v>
      </c>
      <c r="E9" s="1">
        <v>19553.7</v>
      </c>
      <c r="F9" s="1">
        <v>12261.1</v>
      </c>
      <c r="G9" s="1">
        <v>11501.2</v>
      </c>
      <c r="H9" s="1">
        <v>17514.099999999999</v>
      </c>
      <c r="I9" s="1">
        <v>12042.645200000001</v>
      </c>
    </row>
    <row r="10" spans="1:9" x14ac:dyDescent="0.35">
      <c r="A10">
        <v>1980</v>
      </c>
      <c r="B10" s="1">
        <v>13892.3</v>
      </c>
      <c r="C10" s="1">
        <v>24106.7</v>
      </c>
      <c r="D10" s="1">
        <v>25021.9</v>
      </c>
      <c r="E10" s="1">
        <v>23980.3</v>
      </c>
      <c r="F10" s="1">
        <v>14777.2</v>
      </c>
      <c r="G10" s="1">
        <v>14865</v>
      </c>
      <c r="H10" s="1">
        <v>22593.200000000001</v>
      </c>
      <c r="I10" s="1">
        <v>15235.051450000001</v>
      </c>
    </row>
    <row r="11" spans="1:9" x14ac:dyDescent="0.35">
      <c r="A11">
        <v>1990</v>
      </c>
      <c r="B11" s="1">
        <v>19552.685799999999</v>
      </c>
      <c r="C11" s="1">
        <v>29416.0717</v>
      </c>
      <c r="D11" s="1">
        <v>29539.221000000001</v>
      </c>
      <c r="E11" s="1">
        <v>28655.9833</v>
      </c>
      <c r="F11" s="1">
        <v>17488.6571</v>
      </c>
      <c r="G11" s="1">
        <v>24832.733700000001</v>
      </c>
      <c r="H11" s="1">
        <v>28395.3066</v>
      </c>
      <c r="I11" s="1">
        <v>21688.790300000001</v>
      </c>
    </row>
    <row r="12" spans="1:9" x14ac:dyDescent="0.35">
      <c r="A12">
        <v>2000</v>
      </c>
      <c r="B12" s="1">
        <v>24399.768899999999</v>
      </c>
      <c r="C12" s="1">
        <v>35898.079400000002</v>
      </c>
      <c r="D12" s="1">
        <v>35167.243300000002</v>
      </c>
      <c r="E12" s="1">
        <v>36611.394999999997</v>
      </c>
      <c r="F12" s="1">
        <v>25532.691299999999</v>
      </c>
      <c r="G12" s="1">
        <v>46398.795100000003</v>
      </c>
      <c r="H12" s="1">
        <v>34529.322800000002</v>
      </c>
      <c r="I12" s="1">
        <v>30340.416700000002</v>
      </c>
    </row>
    <row r="13" spans="1:9" x14ac:dyDescent="0.35">
      <c r="A13">
        <v>2010</v>
      </c>
      <c r="B13" s="1">
        <v>25583.807799999999</v>
      </c>
      <c r="C13" s="1">
        <v>39099.727400000003</v>
      </c>
      <c r="D13" s="1">
        <v>37296.86</v>
      </c>
      <c r="E13" s="1">
        <v>44371.887000000002</v>
      </c>
      <c r="F13" s="1">
        <v>23416.184600000001</v>
      </c>
      <c r="G13" s="1">
        <v>52404.393600000003</v>
      </c>
      <c r="H13" s="1">
        <v>34360.791599999997</v>
      </c>
      <c r="I13" s="1">
        <v>32369.625499999998</v>
      </c>
    </row>
    <row r="14" spans="1:9" x14ac:dyDescent="0.35">
      <c r="A14">
        <v>2020</v>
      </c>
      <c r="B14" s="1">
        <v>27276.940333333299</v>
      </c>
      <c r="C14" s="1">
        <v>40535.546666666698</v>
      </c>
      <c r="D14" s="1">
        <v>37740.554333333297</v>
      </c>
      <c r="E14" s="1">
        <v>45934.4243333333</v>
      </c>
      <c r="F14" s="1">
        <v>23594.4423333333</v>
      </c>
      <c r="G14" s="1">
        <v>57556.785666666699</v>
      </c>
      <c r="H14" s="1">
        <v>34478.918666666701</v>
      </c>
      <c r="I14" s="1">
        <v>32503.650333333298</v>
      </c>
    </row>
    <row r="16" spans="1:9" x14ac:dyDescent="0.35">
      <c r="A16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2BDA3-92A7-4DB4-A0BE-54C7D866479C}">
  <dimension ref="A1:I16"/>
  <sheetViews>
    <sheetView workbookViewId="0">
      <selection activeCell="A16" sqref="A16"/>
    </sheetView>
  </sheetViews>
  <sheetFormatPr defaultRowHeight="14.5" x14ac:dyDescent="0.35"/>
  <cols>
    <col min="1" max="1" width="9.453125" bestFit="1" customWidth="1"/>
    <col min="2" max="2" width="23.36328125" bestFit="1" customWidth="1"/>
    <col min="3" max="9" width="10.90625" customWidth="1"/>
  </cols>
  <sheetData>
    <row r="1" spans="1:9" x14ac:dyDescent="0.3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35">
      <c r="A2">
        <v>1900</v>
      </c>
      <c r="B2" s="1">
        <v>1997.1</v>
      </c>
      <c r="C2" s="1">
        <f>_7B_GDPPC_decade_PTvsWEall3[[#This Row],[Portugal/GDP per capita]]-_xlfn.XLOOKUP(_7B_GDPPC_decade_PTvsWEall3[[#This Row],[Decade]],_7B_GDPPC_decade_PTvsWEall[Decade],_7B_GDPPC_decade_PTvsWEall[Belgium/GDP per capita],"",0)</f>
        <v>-4126.7000000000007</v>
      </c>
      <c r="D2" s="1">
        <f>_7B_GDPPC_decade_PTvsWEall3[[#This Row],[Portugal/GDP per capita]]-_xlfn.XLOOKUP(_7B_GDPPC_decade_PTvsWEall3[[#This Row],[Decade]],_7B_GDPPC_decade_PTvsWEall[Decade],_7B_GDPPC_decade_PTvsWEall[France/GDP per capita],"",0)</f>
        <v>-2669.2000000000003</v>
      </c>
      <c r="E2" s="1">
        <f>_7B_GDPPC_decade_PTvsWEall3[[#This Row],[Portugal/GDP per capita]]-_xlfn.XLOOKUP(_7B_GDPPC_decade_PTvsWEall3[[#This Row],[Decade]],_7B_GDPPC_decade_PTvsWEall[Decade],_7B_GDPPC_decade_PTvsWEall[Germany/GDP per capita],"",0)</f>
        <v>-2923.4</v>
      </c>
      <c r="F2" s="1">
        <f>_7B_GDPPC_decade_PTvsWEall3[[#This Row],[Portugal/GDP per capita]]-_xlfn.XLOOKUP(_7B_GDPPC_decade_PTvsWEall3[[#This Row],[Decade]],_7B_GDPPC_decade_PTvsWEall[Decade],_7B_GDPPC_decade_PTvsWEall[Greece/GDP per capita],"",0)</f>
        <v>-398.5</v>
      </c>
      <c r="G2" s="1" t="str">
        <f>_xlfn.XLOOKUP(_7B_GDPPC_decade_PTvsWEall3[[#This Row],[Decade]],_7B_GDPPC_decade_PTvsWEall[Decade],_7B_GDPPC_decade_PTvsWEall[Ireland/GDP per capita],"",0)</f>
        <v/>
      </c>
      <c r="H2" s="1">
        <f>_7B_GDPPC_decade_PTvsWEall3[[#This Row],[Portugal/GDP per capita]]-_xlfn.XLOOKUP(_7B_GDPPC_decade_PTvsWEall3[[#This Row],[Decade]],_7B_GDPPC_decade_PTvsWEall[Decade],_7B_GDPPC_decade_PTvsWEall[Italy/GDP per capita],"",0)</f>
        <v>-1536.5</v>
      </c>
      <c r="I2" s="1">
        <f>_7B_GDPPC_decade_PTvsWEall3[[#This Row],[Portugal/GDP per capita]]-_xlfn.XLOOKUP(_7B_GDPPC_decade_PTvsWEall3[[#This Row],[Decade]],_7B_GDPPC_decade_PTvsWEall[Decade],_7B_GDPPC_decade_PTvsWEall[Spain/GDP per capita],"",0)</f>
        <v>-778.58654000000024</v>
      </c>
    </row>
    <row r="3" spans="1:9" x14ac:dyDescent="0.35">
      <c r="A3">
        <v>1910</v>
      </c>
      <c r="B3" s="1">
        <v>1949.7</v>
      </c>
      <c r="C3" s="1">
        <f>_7B_GDPPC_decade_PTvsWEall3[[#This Row],[Portugal/GDP per capita]]-_xlfn.XLOOKUP(_7B_GDPPC_decade_PTvsWEall3[[#This Row],[Decade]],_7B_GDPPC_decade_PTvsWEall[Decade],_7B_GDPPC_decade_PTvsWEall[Belgium/GDP per capita],"",0)</f>
        <v>-4150.1000000000004</v>
      </c>
      <c r="D3" s="1">
        <f>_7B_GDPPC_decade_PTvsWEall3[[#This Row],[Portugal/GDP per capita]]-_xlfn.XLOOKUP(_7B_GDPPC_decade_PTvsWEall3[[#This Row],[Decade]],_7B_GDPPC_decade_PTvsWEall[Decade],_7B_GDPPC_decade_PTvsWEall[France/GDP per capita],"",0)</f>
        <v>-3046.8</v>
      </c>
      <c r="E3" s="1">
        <f>_7B_GDPPC_decade_PTvsWEall3[[#This Row],[Portugal/GDP per capita]]-_xlfn.XLOOKUP(_7B_GDPPC_decade_PTvsWEall3[[#This Row],[Decade]],_7B_GDPPC_decade_PTvsWEall[Decade],_7B_GDPPC_decade_PTvsWEall[Germany/GDP per capita],"",0)</f>
        <v>-3046.1000000000004</v>
      </c>
      <c r="F3" s="1">
        <f>_7B_GDPPC_decade_PTvsWEall3[[#This Row],[Portugal/GDP per capita]]-_xlfn.XLOOKUP(_7B_GDPPC_decade_PTvsWEall3[[#This Row],[Decade]],_7B_GDPPC_decade_PTvsWEall[Decade],_7B_GDPPC_decade_PTvsWEall[Greece/GDP per capita],"",0)</f>
        <v>-276.39999999999986</v>
      </c>
      <c r="G3" s="1">
        <f>_7B_GDPPC_decade_PTvsWEall3[[#This Row],[Portugal/GDP per capita]]-_xlfn.XLOOKUP(_7B_GDPPC_decade_PTvsWEall3[[#This Row],[Decade]],_7B_GDPPC_decade_PTvsWEall[Decade],_7B_GDPPC_decade_PTvsWEall[Ireland/GDP per capita],"",0)</f>
        <v>-2411.3000000000002</v>
      </c>
      <c r="H3" s="1">
        <f>_7B_GDPPC_decade_PTvsWEall3[[#This Row],[Portugal/GDP per capita]]-_xlfn.XLOOKUP(_7B_GDPPC_decade_PTvsWEall3[[#This Row],[Decade]],_7B_GDPPC_decade_PTvsWEall[Decade],_7B_GDPPC_decade_PTvsWEall[Italy/GDP per capita],"",0)</f>
        <v>-1906.4999999999998</v>
      </c>
      <c r="I3" s="1">
        <f>_7B_GDPPC_decade_PTvsWEall3[[#This Row],[Portugal/GDP per capita]]-_xlfn.XLOOKUP(_7B_GDPPC_decade_PTvsWEall3[[#This Row],[Decade]],_7B_GDPPC_decade_PTvsWEall[Decade],_7B_GDPPC_decade_PTvsWEall[Spain/GDP per capita],"",0)</f>
        <v>-1032.6524400000001</v>
      </c>
    </row>
    <row r="4" spans="1:9" x14ac:dyDescent="0.35">
      <c r="A4">
        <v>1920</v>
      </c>
      <c r="B4" s="1">
        <v>2297.8000000000002</v>
      </c>
      <c r="C4" s="1">
        <f>_7B_GDPPC_decade_PTvsWEall3[[#This Row],[Portugal/GDP per capita]]-_xlfn.XLOOKUP(_7B_GDPPC_decade_PTvsWEall3[[#This Row],[Decade]],_7B_GDPPC_decade_PTvsWEall[Decade],_7B_GDPPC_decade_PTvsWEall[Belgium/GDP per capita],"",0)</f>
        <v>-5061.3</v>
      </c>
      <c r="D4" s="1">
        <f>_7B_GDPPC_decade_PTvsWEall3[[#This Row],[Portugal/GDP per capita]]-_xlfn.XLOOKUP(_7B_GDPPC_decade_PTvsWEall3[[#This Row],[Decade]],_7B_GDPPC_decade_PTvsWEall[Decade],_7B_GDPPC_decade_PTvsWEall[France/GDP per capita],"",0)</f>
        <v>-4007.2</v>
      </c>
      <c r="E4" s="1">
        <f>_7B_GDPPC_decade_PTvsWEall3[[#This Row],[Portugal/GDP per capita]]-_xlfn.XLOOKUP(_7B_GDPPC_decade_PTvsWEall3[[#This Row],[Decade]],_7B_GDPPC_decade_PTvsWEall[Decade],_7B_GDPPC_decade_PTvsWEall[Germany/GDP per capita],"",0)</f>
        <v>-3181.0999999999995</v>
      </c>
      <c r="F4" s="1">
        <f>_7B_GDPPC_decade_PTvsWEall3[[#This Row],[Portugal/GDP per capita]]-_xlfn.XLOOKUP(_7B_GDPPC_decade_PTvsWEall3[[#This Row],[Decade]],_7B_GDPPC_decade_PTvsWEall[Decade],_7B_GDPPC_decade_PTvsWEall[Greece/GDP per capita],"",0)</f>
        <v>-965.89999999999964</v>
      </c>
      <c r="G4" s="1">
        <f>_7B_GDPPC_decade_PTvsWEall3[[#This Row],[Portugal/GDP per capita]]-_xlfn.XLOOKUP(_7B_GDPPC_decade_PTvsWEall3[[#This Row],[Decade]],_7B_GDPPC_decade_PTvsWEall[Decade],_7B_GDPPC_decade_PTvsWEall[Ireland/GDP per capita],"",0)</f>
        <v>-1888.0888888888994</v>
      </c>
      <c r="H4" s="1">
        <f>_7B_GDPPC_decade_PTvsWEall3[[#This Row],[Portugal/GDP per capita]]-_xlfn.XLOOKUP(_7B_GDPPC_decade_PTvsWEall3[[#This Row],[Decade]],_7B_GDPPC_decade_PTvsWEall[Decade],_7B_GDPPC_decade_PTvsWEall[Italy/GDP per capita],"",0)</f>
        <v>-2016.3000000000002</v>
      </c>
      <c r="I4" s="1">
        <f>_7B_GDPPC_decade_PTvsWEall3[[#This Row],[Portugal/GDP per capita]]-_xlfn.XLOOKUP(_7B_GDPPC_decade_PTvsWEall3[[#This Row],[Decade]],_7B_GDPPC_decade_PTvsWEall[Decade],_7B_GDPPC_decade_PTvsWEall[Spain/GDP per capita],"",0)</f>
        <v>-1333.5369099999998</v>
      </c>
    </row>
    <row r="5" spans="1:9" x14ac:dyDescent="0.35">
      <c r="A5">
        <v>1930</v>
      </c>
      <c r="B5" s="1">
        <v>2679</v>
      </c>
      <c r="C5" s="1">
        <f>_7B_GDPPC_decade_PTvsWEall3[[#This Row],[Portugal/GDP per capita]]-_xlfn.XLOOKUP(_7B_GDPPC_decade_PTvsWEall3[[#This Row],[Decade]],_7B_GDPPC_decade_PTvsWEall[Decade],_7B_GDPPC_decade_PTvsWEall[Belgium/GDP per capita],"",0)</f>
        <v>-5051.8999999999996</v>
      </c>
      <c r="D5" s="1">
        <f>_7B_GDPPC_decade_PTvsWEall3[[#This Row],[Portugal/GDP per capita]]-_xlfn.XLOOKUP(_7B_GDPPC_decade_PTvsWEall3[[#This Row],[Decade]],_7B_GDPPC_decade_PTvsWEall[Decade],_7B_GDPPC_decade_PTvsWEall[France/GDP per capita],"",0)</f>
        <v>-4212.3999999999996</v>
      </c>
      <c r="E5" s="1">
        <f>_7B_GDPPC_decade_PTvsWEall3[[#This Row],[Portugal/GDP per capita]]-_xlfn.XLOOKUP(_7B_GDPPC_decade_PTvsWEall3[[#This Row],[Decade]],_7B_GDPPC_decade_PTvsWEall[Decade],_7B_GDPPC_decade_PTvsWEall[Germany/GDP per capita],"",0)</f>
        <v>-4024.8</v>
      </c>
      <c r="F5" s="1">
        <f>_7B_GDPPC_decade_PTvsWEall3[[#This Row],[Portugal/GDP per capita]]-_xlfn.XLOOKUP(_7B_GDPPC_decade_PTvsWEall3[[#This Row],[Decade]],_7B_GDPPC_decade_PTvsWEall[Decade],_7B_GDPPC_decade_PTvsWEall[Greece/GDP per capita],"",0)</f>
        <v>-1228.4000000000001</v>
      </c>
      <c r="G5" s="1">
        <f>_7B_GDPPC_decade_PTvsWEall3[[#This Row],[Portugal/GDP per capita]]-_xlfn.XLOOKUP(_7B_GDPPC_decade_PTvsWEall3[[#This Row],[Decade]],_7B_GDPPC_decade_PTvsWEall[Decade],_7B_GDPPC_decade_PTvsWEall[Ireland/GDP per capita],"",0)</f>
        <v>-2025.6999999999998</v>
      </c>
      <c r="H5" s="1">
        <f>_7B_GDPPC_decade_PTvsWEall3[[#This Row],[Portugal/GDP per capita]]-_xlfn.XLOOKUP(_7B_GDPPC_decade_PTvsWEall3[[#This Row],[Decade]],_7B_GDPPC_decade_PTvsWEall[Decade],_7B_GDPPC_decade_PTvsWEall[Italy/GDP per capita],"",0)</f>
        <v>-2020.8000000000002</v>
      </c>
      <c r="I5" s="1">
        <f>_7B_GDPPC_decade_PTvsWEall3[[#This Row],[Portugal/GDP per capita]]-_xlfn.XLOOKUP(_7B_GDPPC_decade_PTvsWEall3[[#This Row],[Decade]],_7B_GDPPC_decade_PTvsWEall[Decade],_7B_GDPPC_decade_PTvsWEall[Spain/GDP per capita],"",0)</f>
        <v>-706.33118999999988</v>
      </c>
    </row>
    <row r="6" spans="1:9" x14ac:dyDescent="0.35">
      <c r="A6">
        <v>1940</v>
      </c>
      <c r="B6" s="1">
        <v>2976.8</v>
      </c>
      <c r="C6" s="1">
        <f>_7B_GDPPC_decade_PTvsWEall3[[#This Row],[Portugal/GDP per capita]]-_xlfn.XLOOKUP(_7B_GDPPC_decade_PTvsWEall3[[#This Row],[Decade]],_7B_GDPPC_decade_PTvsWEall[Decade],_7B_GDPPC_decade_PTvsWEall[Belgium/GDP per capita],"",0)</f>
        <v>-4173.8999999999996</v>
      </c>
      <c r="D6" s="1">
        <f>_7B_GDPPC_decade_PTvsWEall3[[#This Row],[Portugal/GDP per capita]]-_xlfn.XLOOKUP(_7B_GDPPC_decade_PTvsWEall3[[#This Row],[Decade]],_7B_GDPPC_decade_PTvsWEall[Decade],_7B_GDPPC_decade_PTvsWEall[France/GDP per capita],"",0)</f>
        <v>-2684.8999999999996</v>
      </c>
      <c r="E6" s="1">
        <f>_7B_GDPPC_decade_PTvsWEall3[[#This Row],[Portugal/GDP per capita]]-_xlfn.XLOOKUP(_7B_GDPPC_decade_PTvsWEall3[[#This Row],[Decade]],_7B_GDPPC_decade_PTvsWEall[Decade],_7B_GDPPC_decade_PTvsWEall[Germany/GDP per capita],"",0)</f>
        <v>-4054.3</v>
      </c>
      <c r="F6" s="1">
        <f>_7B_GDPPC_decade_PTvsWEall3[[#This Row],[Portugal/GDP per capita]]-_xlfn.XLOOKUP(_7B_GDPPC_decade_PTvsWEall3[[#This Row],[Decade]],_7B_GDPPC_decade_PTvsWEall[Decade],_7B_GDPPC_decade_PTvsWEall[Greece/GDP per capita],"",0)</f>
        <v>446.80000000000018</v>
      </c>
      <c r="G6" s="1">
        <f>_7B_GDPPC_decade_PTvsWEall3[[#This Row],[Portugal/GDP per capita]]-_xlfn.XLOOKUP(_7B_GDPPC_decade_PTvsWEall3[[#This Row],[Decade]],_7B_GDPPC_decade_PTvsWEall[Decade],_7B_GDPPC_decade_PTvsWEall[Ireland/GDP per capita],"",0)</f>
        <v>-1973.8000000000002</v>
      </c>
      <c r="H6" s="1">
        <f>_7B_GDPPC_decade_PTvsWEall3[[#This Row],[Portugal/GDP per capita]]-_xlfn.XLOOKUP(_7B_GDPPC_decade_PTvsWEall3[[#This Row],[Decade]],_7B_GDPPC_decade_PTvsWEall[Decade],_7B_GDPPC_decade_PTvsWEall[Italy/GDP per capita],"",0)</f>
        <v>-1318.8000000000002</v>
      </c>
      <c r="I6" s="1">
        <f>_7B_GDPPC_decade_PTvsWEall3[[#This Row],[Portugal/GDP per capita]]-_xlfn.XLOOKUP(_7B_GDPPC_decade_PTvsWEall3[[#This Row],[Decade]],_7B_GDPPC_decade_PTvsWEall[Decade],_7B_GDPPC_decade_PTvsWEall[Spain/GDP per capita],"",0)</f>
        <v>-442.76326999999992</v>
      </c>
    </row>
    <row r="7" spans="1:9" x14ac:dyDescent="0.35">
      <c r="A7">
        <v>1950</v>
      </c>
      <c r="B7" s="1">
        <v>3868.6</v>
      </c>
      <c r="C7" s="1">
        <f>_7B_GDPPC_decade_PTvsWEall3[[#This Row],[Portugal/GDP per capita]]-_xlfn.XLOOKUP(_7B_GDPPC_decade_PTvsWEall3[[#This Row],[Decade]],_7B_GDPPC_decade_PTvsWEall[Decade],_7B_GDPPC_decade_PTvsWEall[Belgium/GDP per capita],"",0)</f>
        <v>-5850.1</v>
      </c>
      <c r="D7" s="1">
        <f>_7B_GDPPC_decade_PTvsWEall3[[#This Row],[Portugal/GDP per capita]]-_xlfn.XLOOKUP(_7B_GDPPC_decade_PTvsWEall3[[#This Row],[Decade]],_7B_GDPPC_decade_PTvsWEall[Decade],_7B_GDPPC_decade_PTvsWEall[France/GDP per capita],"",0)</f>
        <v>-5863.1</v>
      </c>
      <c r="E7" s="1">
        <f>_7B_GDPPC_decade_PTvsWEall3[[#This Row],[Portugal/GDP per capita]]-_xlfn.XLOOKUP(_7B_GDPPC_decade_PTvsWEall3[[#This Row],[Decade]],_7B_GDPPC_decade_PTvsWEall[Decade],_7B_GDPPC_decade_PTvsWEall[Germany/GDP per capita],"",0)</f>
        <v>-4925.6000000000004</v>
      </c>
      <c r="F7" s="1">
        <f>_7B_GDPPC_decade_PTvsWEall3[[#This Row],[Portugal/GDP per capita]]-_xlfn.XLOOKUP(_7B_GDPPC_decade_PTvsWEall3[[#This Row],[Decade]],_7B_GDPPC_decade_PTvsWEall[Decade],_7B_GDPPC_decade_PTvsWEall[Greece/GDP per capita],"",0)</f>
        <v>-81.099999999999909</v>
      </c>
      <c r="G7" s="1">
        <f>_7B_GDPPC_decade_PTvsWEall3[[#This Row],[Portugal/GDP per capita]]-_xlfn.XLOOKUP(_7B_GDPPC_decade_PTvsWEall3[[#This Row],[Decade]],_7B_GDPPC_decade_PTvsWEall[Decade],_7B_GDPPC_decade_PTvsWEall[Ireland/GDP per capita],"",0)</f>
        <v>-2159.7999999999997</v>
      </c>
      <c r="H7" s="1">
        <f>_7B_GDPPC_decade_PTvsWEall3[[#This Row],[Portugal/GDP per capita]]-_xlfn.XLOOKUP(_7B_GDPPC_decade_PTvsWEall3[[#This Row],[Decade]],_7B_GDPPC_decade_PTvsWEall[Decade],_7B_GDPPC_decade_PTvsWEall[Italy/GDP per capita],"",0)</f>
        <v>-3401.7999999999997</v>
      </c>
      <c r="I7" s="1">
        <f>_7B_GDPPC_decade_PTvsWEall3[[#This Row],[Portugal/GDP per capita]]-_xlfn.XLOOKUP(_7B_GDPPC_decade_PTvsWEall3[[#This Row],[Decade]],_7B_GDPPC_decade_PTvsWEall[Decade],_7B_GDPPC_decade_PTvsWEall[Spain/GDP per capita],"",0)</f>
        <v>-538.50286000000006</v>
      </c>
    </row>
    <row r="8" spans="1:9" x14ac:dyDescent="0.35">
      <c r="A8">
        <v>1960</v>
      </c>
      <c r="B8" s="1">
        <v>6236.2</v>
      </c>
      <c r="C8" s="1">
        <f>_7B_GDPPC_decade_PTvsWEall3[[#This Row],[Portugal/GDP per capita]]-_xlfn.XLOOKUP(_7B_GDPPC_decade_PTvsWEall3[[#This Row],[Decade]],_7B_GDPPC_decade_PTvsWEall[Decade],_7B_GDPPC_decade_PTvsWEall[Belgium/GDP per capita],"",0)</f>
        <v>-7126.5000000000009</v>
      </c>
      <c r="D8" s="1">
        <f>_7B_GDPPC_decade_PTvsWEall3[[#This Row],[Portugal/GDP per capita]]-_xlfn.XLOOKUP(_7B_GDPPC_decade_PTvsWEall3[[#This Row],[Decade]],_7B_GDPPC_decade_PTvsWEall[Decade],_7B_GDPPC_decade_PTvsWEall[France/GDP per capita],"",0)</f>
        <v>-8130.9000000000005</v>
      </c>
      <c r="E8" s="1">
        <f>_7B_GDPPC_decade_PTvsWEall3[[#This Row],[Portugal/GDP per capita]]-_xlfn.XLOOKUP(_7B_GDPPC_decade_PTvsWEall3[[#This Row],[Decade]],_7B_GDPPC_decade_PTvsWEall[Decade],_7B_GDPPC_decade_PTvsWEall[Germany/GDP per capita],"",0)</f>
        <v>-8007.9000000000005</v>
      </c>
      <c r="F8" s="1">
        <f>_7B_GDPPC_decade_PTvsWEall3[[#This Row],[Portugal/GDP per capita]]-_xlfn.XLOOKUP(_7B_GDPPC_decade_PTvsWEall3[[#This Row],[Decade]],_7B_GDPPC_decade_PTvsWEall[Decade],_7B_GDPPC_decade_PTvsWEall[Greece/GDP per capita],"",0)</f>
        <v>-659.5</v>
      </c>
      <c r="G8" s="1">
        <f>_7B_GDPPC_decade_PTvsWEall3[[#This Row],[Portugal/GDP per capita]]-_xlfn.XLOOKUP(_7B_GDPPC_decade_PTvsWEall3[[#This Row],[Decade]],_7B_GDPPC_decade_PTvsWEall[Decade],_7B_GDPPC_decade_PTvsWEall[Ireland/GDP per capita],"",0)</f>
        <v>-1825.4000000000005</v>
      </c>
      <c r="H8" s="1">
        <f>_7B_GDPPC_decade_PTvsWEall3[[#This Row],[Portugal/GDP per capita]]-_xlfn.XLOOKUP(_7B_GDPPC_decade_PTvsWEall3[[#This Row],[Decade]],_7B_GDPPC_decade_PTvsWEall[Decade],_7B_GDPPC_decade_PTvsWEall[Italy/GDP per capita],"",0)</f>
        <v>-5962.5000000000009</v>
      </c>
      <c r="I8" s="1">
        <f>_7B_GDPPC_decade_PTvsWEall3[[#This Row],[Portugal/GDP per capita]]-_xlfn.XLOOKUP(_7B_GDPPC_decade_PTvsWEall3[[#This Row],[Decade]],_7B_GDPPC_decade_PTvsWEall[Decade],_7B_GDPPC_decade_PTvsWEall[Spain/GDP per capita],"",0)</f>
        <v>-928.68377000000055</v>
      </c>
    </row>
    <row r="9" spans="1:9" x14ac:dyDescent="0.35">
      <c r="A9">
        <v>1970</v>
      </c>
      <c r="B9" s="1">
        <v>10740.1</v>
      </c>
      <c r="C9" s="1">
        <f>_7B_GDPPC_decade_PTvsWEall3[[#This Row],[Portugal/GDP per capita]]-_xlfn.XLOOKUP(_7B_GDPPC_decade_PTvsWEall3[[#This Row],[Decade]],_7B_GDPPC_decade_PTvsWEall[Decade],_7B_GDPPC_decade_PTvsWEall[Belgium/GDP per capita],"",0)</f>
        <v>-9035.8000000000011</v>
      </c>
      <c r="D9" s="1">
        <f>_7B_GDPPC_decade_PTvsWEall3[[#This Row],[Portugal/GDP per capita]]-_xlfn.XLOOKUP(_7B_GDPPC_decade_PTvsWEall3[[#This Row],[Decade]],_7B_GDPPC_decade_PTvsWEall[Decade],_7B_GDPPC_decade_PTvsWEall[France/GDP per capita],"",0)</f>
        <v>-10087.800000000001</v>
      </c>
      <c r="E9" s="1">
        <f>_7B_GDPPC_decade_PTvsWEall3[[#This Row],[Portugal/GDP per capita]]-_xlfn.XLOOKUP(_7B_GDPPC_decade_PTvsWEall3[[#This Row],[Decade]],_7B_GDPPC_decade_PTvsWEall[Decade],_7B_GDPPC_decade_PTvsWEall[Germany/GDP per capita],"",0)</f>
        <v>-8813.6</v>
      </c>
      <c r="F9" s="1">
        <f>_7B_GDPPC_decade_PTvsWEall3[[#This Row],[Portugal/GDP per capita]]-_xlfn.XLOOKUP(_7B_GDPPC_decade_PTvsWEall3[[#This Row],[Decade]],_7B_GDPPC_decade_PTvsWEall[Decade],_7B_GDPPC_decade_PTvsWEall[Greece/GDP per capita],"",0)</f>
        <v>-1521</v>
      </c>
      <c r="G9" s="1">
        <f>_7B_GDPPC_decade_PTvsWEall3[[#This Row],[Portugal/GDP per capita]]-_xlfn.XLOOKUP(_7B_GDPPC_decade_PTvsWEall3[[#This Row],[Decade]],_7B_GDPPC_decade_PTvsWEall[Decade],_7B_GDPPC_decade_PTvsWEall[Ireland/GDP per capita],"",0)</f>
        <v>-761.10000000000036</v>
      </c>
      <c r="H9" s="1">
        <f>_7B_GDPPC_decade_PTvsWEall3[[#This Row],[Portugal/GDP per capita]]-_xlfn.XLOOKUP(_7B_GDPPC_decade_PTvsWEall3[[#This Row],[Decade]],_7B_GDPPC_decade_PTvsWEall[Decade],_7B_GDPPC_decade_PTvsWEall[Italy/GDP per capita],"",0)</f>
        <v>-6773.9999999999982</v>
      </c>
      <c r="I9" s="1">
        <f>_7B_GDPPC_decade_PTvsWEall3[[#This Row],[Portugal/GDP per capita]]-_xlfn.XLOOKUP(_7B_GDPPC_decade_PTvsWEall3[[#This Row],[Decade]],_7B_GDPPC_decade_PTvsWEall[Decade],_7B_GDPPC_decade_PTvsWEall[Spain/GDP per capita],"",0)</f>
        <v>-1302.5452000000005</v>
      </c>
    </row>
    <row r="10" spans="1:9" x14ac:dyDescent="0.35">
      <c r="A10">
        <v>1980</v>
      </c>
      <c r="B10" s="1">
        <v>13892.3</v>
      </c>
      <c r="C10" s="1">
        <f>_7B_GDPPC_decade_PTvsWEall3[[#This Row],[Portugal/GDP per capita]]-_xlfn.XLOOKUP(_7B_GDPPC_decade_PTvsWEall3[[#This Row],[Decade]],_7B_GDPPC_decade_PTvsWEall[Decade],_7B_GDPPC_decade_PTvsWEall[Belgium/GDP per capita],"",0)</f>
        <v>-10214.400000000001</v>
      </c>
      <c r="D10" s="1">
        <f>_7B_GDPPC_decade_PTvsWEall3[[#This Row],[Portugal/GDP per capita]]-_xlfn.XLOOKUP(_7B_GDPPC_decade_PTvsWEall3[[#This Row],[Decade]],_7B_GDPPC_decade_PTvsWEall[Decade],_7B_GDPPC_decade_PTvsWEall[France/GDP per capita],"",0)</f>
        <v>-11129.600000000002</v>
      </c>
      <c r="E10" s="1">
        <f>_7B_GDPPC_decade_PTvsWEall3[[#This Row],[Portugal/GDP per capita]]-_xlfn.XLOOKUP(_7B_GDPPC_decade_PTvsWEall3[[#This Row],[Decade]],_7B_GDPPC_decade_PTvsWEall[Decade],_7B_GDPPC_decade_PTvsWEall[Germany/GDP per capita],"",0)</f>
        <v>-10088</v>
      </c>
      <c r="F10" s="1">
        <f>_7B_GDPPC_decade_PTvsWEall3[[#This Row],[Portugal/GDP per capita]]-_xlfn.XLOOKUP(_7B_GDPPC_decade_PTvsWEall3[[#This Row],[Decade]],_7B_GDPPC_decade_PTvsWEall[Decade],_7B_GDPPC_decade_PTvsWEall[Greece/GDP per capita],"",0)</f>
        <v>-884.90000000000146</v>
      </c>
      <c r="G10" s="1">
        <f>_7B_GDPPC_decade_PTvsWEall3[[#This Row],[Portugal/GDP per capita]]-_xlfn.XLOOKUP(_7B_GDPPC_decade_PTvsWEall3[[#This Row],[Decade]],_7B_GDPPC_decade_PTvsWEall[Decade],_7B_GDPPC_decade_PTvsWEall[Ireland/GDP per capita],"",0)</f>
        <v>-972.70000000000073</v>
      </c>
      <c r="H10" s="1">
        <f>_7B_GDPPC_decade_PTvsWEall3[[#This Row],[Portugal/GDP per capita]]-_xlfn.XLOOKUP(_7B_GDPPC_decade_PTvsWEall3[[#This Row],[Decade]],_7B_GDPPC_decade_PTvsWEall[Decade],_7B_GDPPC_decade_PTvsWEall[Italy/GDP per capita],"",0)</f>
        <v>-8700.9000000000015</v>
      </c>
      <c r="I10" s="1">
        <f>_7B_GDPPC_decade_PTvsWEall3[[#This Row],[Portugal/GDP per capita]]-_xlfn.XLOOKUP(_7B_GDPPC_decade_PTvsWEall3[[#This Row],[Decade]],_7B_GDPPC_decade_PTvsWEall[Decade],_7B_GDPPC_decade_PTvsWEall[Spain/GDP per capita],"",0)</f>
        <v>-1342.7514500000016</v>
      </c>
    </row>
    <row r="11" spans="1:9" x14ac:dyDescent="0.35">
      <c r="A11">
        <v>1990</v>
      </c>
      <c r="B11" s="1">
        <v>19552.685799999999</v>
      </c>
      <c r="C11" s="1">
        <f>_7B_GDPPC_decade_PTvsWEall3[[#This Row],[Portugal/GDP per capita]]-_xlfn.XLOOKUP(_7B_GDPPC_decade_PTvsWEall3[[#This Row],[Decade]],_7B_GDPPC_decade_PTvsWEall[Decade],_7B_GDPPC_decade_PTvsWEall[Belgium/GDP per capita],"",0)</f>
        <v>-9863.3859000000011</v>
      </c>
      <c r="D11" s="1">
        <f>_7B_GDPPC_decade_PTvsWEall3[[#This Row],[Portugal/GDP per capita]]-_xlfn.XLOOKUP(_7B_GDPPC_decade_PTvsWEall3[[#This Row],[Decade]],_7B_GDPPC_decade_PTvsWEall[Decade],_7B_GDPPC_decade_PTvsWEall[France/GDP per capita],"",0)</f>
        <v>-9986.5352000000021</v>
      </c>
      <c r="E11" s="1">
        <f>_7B_GDPPC_decade_PTvsWEall3[[#This Row],[Portugal/GDP per capita]]-_xlfn.XLOOKUP(_7B_GDPPC_decade_PTvsWEall3[[#This Row],[Decade]],_7B_GDPPC_decade_PTvsWEall[Decade],_7B_GDPPC_decade_PTvsWEall[Germany/GDP per capita],"",0)</f>
        <v>-9103.2975000000006</v>
      </c>
      <c r="F11" s="1">
        <f>_7B_GDPPC_decade_PTvsWEall3[[#This Row],[Portugal/GDP per capita]]-_xlfn.XLOOKUP(_7B_GDPPC_decade_PTvsWEall3[[#This Row],[Decade]],_7B_GDPPC_decade_PTvsWEall[Decade],_7B_GDPPC_decade_PTvsWEall[Greece/GDP per capita],"",0)</f>
        <v>2064.0286999999989</v>
      </c>
      <c r="G11" s="1">
        <f>_7B_GDPPC_decade_PTvsWEall3[[#This Row],[Portugal/GDP per capita]]-_xlfn.XLOOKUP(_7B_GDPPC_decade_PTvsWEall3[[#This Row],[Decade]],_7B_GDPPC_decade_PTvsWEall[Decade],_7B_GDPPC_decade_PTvsWEall[Ireland/GDP per capita],"",0)</f>
        <v>-5280.0479000000014</v>
      </c>
      <c r="H11" s="1">
        <f>_7B_GDPPC_decade_PTvsWEall3[[#This Row],[Portugal/GDP per capita]]-_xlfn.XLOOKUP(_7B_GDPPC_decade_PTvsWEall3[[#This Row],[Decade]],_7B_GDPPC_decade_PTvsWEall[Decade],_7B_GDPPC_decade_PTvsWEall[Italy/GDP per capita],"",0)</f>
        <v>-8842.6208000000006</v>
      </c>
      <c r="I11" s="1">
        <f>_7B_GDPPC_decade_PTvsWEall3[[#This Row],[Portugal/GDP per capita]]-_xlfn.XLOOKUP(_7B_GDPPC_decade_PTvsWEall3[[#This Row],[Decade]],_7B_GDPPC_decade_PTvsWEall[Decade],_7B_GDPPC_decade_PTvsWEall[Spain/GDP per capita],"",0)</f>
        <v>-2136.1045000000013</v>
      </c>
    </row>
    <row r="12" spans="1:9" x14ac:dyDescent="0.35">
      <c r="A12">
        <v>2000</v>
      </c>
      <c r="B12" s="1">
        <v>24399.768899999999</v>
      </c>
      <c r="C12" s="1">
        <f>_7B_GDPPC_decade_PTvsWEall3[[#This Row],[Portugal/GDP per capita]]-_xlfn.XLOOKUP(_7B_GDPPC_decade_PTvsWEall3[[#This Row],[Decade]],_7B_GDPPC_decade_PTvsWEall[Decade],_7B_GDPPC_decade_PTvsWEall[Belgium/GDP per capita],"",0)</f>
        <v>-11498.310500000003</v>
      </c>
      <c r="D12" s="1">
        <f>_7B_GDPPC_decade_PTvsWEall3[[#This Row],[Portugal/GDP per capita]]-_xlfn.XLOOKUP(_7B_GDPPC_decade_PTvsWEall3[[#This Row],[Decade]],_7B_GDPPC_decade_PTvsWEall[Decade],_7B_GDPPC_decade_PTvsWEall[France/GDP per capita],"",0)</f>
        <v>-10767.474400000003</v>
      </c>
      <c r="E12" s="1">
        <f>_7B_GDPPC_decade_PTvsWEall3[[#This Row],[Portugal/GDP per capita]]-_xlfn.XLOOKUP(_7B_GDPPC_decade_PTvsWEall3[[#This Row],[Decade]],_7B_GDPPC_decade_PTvsWEall[Decade],_7B_GDPPC_decade_PTvsWEall[Germany/GDP per capita],"",0)</f>
        <v>-12211.626099999998</v>
      </c>
      <c r="F12" s="1">
        <f>_7B_GDPPC_decade_PTvsWEall3[[#This Row],[Portugal/GDP per capita]]-_xlfn.XLOOKUP(_7B_GDPPC_decade_PTvsWEall3[[#This Row],[Decade]],_7B_GDPPC_decade_PTvsWEall[Decade],_7B_GDPPC_decade_PTvsWEall[Greece/GDP per capita],"",0)</f>
        <v>-1132.9223999999995</v>
      </c>
      <c r="G12" s="1">
        <f>_7B_GDPPC_decade_PTvsWEall3[[#This Row],[Portugal/GDP per capita]]-_xlfn.XLOOKUP(_7B_GDPPC_decade_PTvsWEall3[[#This Row],[Decade]],_7B_GDPPC_decade_PTvsWEall[Decade],_7B_GDPPC_decade_PTvsWEall[Ireland/GDP per capita],"",0)</f>
        <v>-21999.026200000004</v>
      </c>
      <c r="H12" s="1">
        <f>_7B_GDPPC_decade_PTvsWEall3[[#This Row],[Portugal/GDP per capita]]-_xlfn.XLOOKUP(_7B_GDPPC_decade_PTvsWEall3[[#This Row],[Decade]],_7B_GDPPC_decade_PTvsWEall[Decade],_7B_GDPPC_decade_PTvsWEall[Italy/GDP per capita],"",0)</f>
        <v>-10129.553900000003</v>
      </c>
      <c r="I12" s="1">
        <f>_7B_GDPPC_decade_PTvsWEall3[[#This Row],[Portugal/GDP per capita]]-_xlfn.XLOOKUP(_7B_GDPPC_decade_PTvsWEall3[[#This Row],[Decade]],_7B_GDPPC_decade_PTvsWEall[Decade],_7B_GDPPC_decade_PTvsWEall[Spain/GDP per capita],"",0)</f>
        <v>-5940.6478000000025</v>
      </c>
    </row>
    <row r="13" spans="1:9" x14ac:dyDescent="0.35">
      <c r="A13">
        <v>2010</v>
      </c>
      <c r="B13" s="1">
        <v>25583.807799999999</v>
      </c>
      <c r="C13" s="1">
        <f>_7B_GDPPC_decade_PTvsWEall3[[#This Row],[Portugal/GDP per capita]]-_xlfn.XLOOKUP(_7B_GDPPC_decade_PTvsWEall3[[#This Row],[Decade]],_7B_GDPPC_decade_PTvsWEall[Decade],_7B_GDPPC_decade_PTvsWEall[Belgium/GDP per capita],"",0)</f>
        <v>-13515.919600000005</v>
      </c>
      <c r="D13" s="1">
        <f>_7B_GDPPC_decade_PTvsWEall3[[#This Row],[Portugal/GDP per capita]]-_xlfn.XLOOKUP(_7B_GDPPC_decade_PTvsWEall3[[#This Row],[Decade]],_7B_GDPPC_decade_PTvsWEall[Decade],_7B_GDPPC_decade_PTvsWEall[France/GDP per capita],"",0)</f>
        <v>-11713.052200000002</v>
      </c>
      <c r="E13" s="1">
        <f>_7B_GDPPC_decade_PTvsWEall3[[#This Row],[Portugal/GDP per capita]]-_xlfn.XLOOKUP(_7B_GDPPC_decade_PTvsWEall3[[#This Row],[Decade]],_7B_GDPPC_decade_PTvsWEall[Decade],_7B_GDPPC_decade_PTvsWEall[Germany/GDP per capita],"",0)</f>
        <v>-18788.079200000004</v>
      </c>
      <c r="F13" s="1">
        <f>_7B_GDPPC_decade_PTvsWEall3[[#This Row],[Portugal/GDP per capita]]-_xlfn.XLOOKUP(_7B_GDPPC_decade_PTvsWEall3[[#This Row],[Decade]],_7B_GDPPC_decade_PTvsWEall[Decade],_7B_GDPPC_decade_PTvsWEall[Greece/GDP per capita],"",0)</f>
        <v>2167.6231999999982</v>
      </c>
      <c r="G13" s="1">
        <f>_7B_GDPPC_decade_PTvsWEall3[[#This Row],[Portugal/GDP per capita]]-_xlfn.XLOOKUP(_7B_GDPPC_decade_PTvsWEall3[[#This Row],[Decade]],_7B_GDPPC_decade_PTvsWEall[Decade],_7B_GDPPC_decade_PTvsWEall[Ireland/GDP per capita],"",0)</f>
        <v>-26820.585800000004</v>
      </c>
      <c r="H13" s="1">
        <f>_7B_GDPPC_decade_PTvsWEall3[[#This Row],[Portugal/GDP per capita]]-_xlfn.XLOOKUP(_7B_GDPPC_decade_PTvsWEall3[[#This Row],[Decade]],_7B_GDPPC_decade_PTvsWEall[Decade],_7B_GDPPC_decade_PTvsWEall[Italy/GDP per capita],"",0)</f>
        <v>-8776.9837999999982</v>
      </c>
      <c r="I13" s="1">
        <f>_7B_GDPPC_decade_PTvsWEall3[[#This Row],[Portugal/GDP per capita]]-_xlfn.XLOOKUP(_7B_GDPPC_decade_PTvsWEall3[[#This Row],[Decade]],_7B_GDPPC_decade_PTvsWEall[Decade],_7B_GDPPC_decade_PTvsWEall[Spain/GDP per capita],"",0)</f>
        <v>-6785.8176999999996</v>
      </c>
    </row>
    <row r="14" spans="1:9" x14ac:dyDescent="0.35">
      <c r="A14">
        <v>2020</v>
      </c>
      <c r="B14" s="1">
        <v>27276.940333333299</v>
      </c>
      <c r="C14" s="1">
        <f>_7B_GDPPC_decade_PTvsWEall3[[#This Row],[Portugal/GDP per capita]]-_xlfn.XLOOKUP(_7B_GDPPC_decade_PTvsWEall3[[#This Row],[Decade]],_7B_GDPPC_decade_PTvsWEall[Decade],_7B_GDPPC_decade_PTvsWEall[Belgium/GDP per capita],"",0)</f>
        <v>-13258.606333333399</v>
      </c>
      <c r="D14" s="1">
        <f>_7B_GDPPC_decade_PTvsWEall3[[#This Row],[Portugal/GDP per capita]]-_xlfn.XLOOKUP(_7B_GDPPC_decade_PTvsWEall3[[#This Row],[Decade]],_7B_GDPPC_decade_PTvsWEall[Decade],_7B_GDPPC_decade_PTvsWEall[France/GDP per capita],"",0)</f>
        <v>-10463.613999999998</v>
      </c>
      <c r="E14" s="1">
        <f>_7B_GDPPC_decade_PTvsWEall3[[#This Row],[Portugal/GDP per capita]]-_xlfn.XLOOKUP(_7B_GDPPC_decade_PTvsWEall3[[#This Row],[Decade]],_7B_GDPPC_decade_PTvsWEall[Decade],_7B_GDPPC_decade_PTvsWEall[Germany/GDP per capita],"",0)</f>
        <v>-18657.484</v>
      </c>
      <c r="F14" s="1">
        <f>_7B_GDPPC_decade_PTvsWEall3[[#This Row],[Portugal/GDP per capita]]-_xlfn.XLOOKUP(_7B_GDPPC_decade_PTvsWEall3[[#This Row],[Decade]],_7B_GDPPC_decade_PTvsWEall[Decade],_7B_GDPPC_decade_PTvsWEall[Greece/GDP per capita],"",0)</f>
        <v>3682.4979999999996</v>
      </c>
      <c r="G14" s="1">
        <f>_7B_GDPPC_decade_PTvsWEall3[[#This Row],[Portugal/GDP per capita]]-_xlfn.XLOOKUP(_7B_GDPPC_decade_PTvsWEall3[[#This Row],[Decade]],_7B_GDPPC_decade_PTvsWEall[Decade],_7B_GDPPC_decade_PTvsWEall[Ireland/GDP per capita],"",0)</f>
        <v>-30279.8453333334</v>
      </c>
      <c r="H14" s="1">
        <f>_7B_GDPPC_decade_PTvsWEall3[[#This Row],[Portugal/GDP per capita]]-_xlfn.XLOOKUP(_7B_GDPPC_decade_PTvsWEall3[[#This Row],[Decade]],_7B_GDPPC_decade_PTvsWEall[Decade],_7B_GDPPC_decade_PTvsWEall[Italy/GDP per capita],"",0)</f>
        <v>-7201.9783333334017</v>
      </c>
      <c r="I14" s="1">
        <f>_7B_GDPPC_decade_PTvsWEall3[[#This Row],[Portugal/GDP per capita]]-_xlfn.XLOOKUP(_7B_GDPPC_decade_PTvsWEall3[[#This Row],[Decade]],_7B_GDPPC_decade_PTvsWEall[Decade],_7B_GDPPC_decade_PTvsWEall[Spain/GDP per capita],"",0)</f>
        <v>-5226.7099999999991</v>
      </c>
    </row>
    <row r="16" spans="1:9" x14ac:dyDescent="0.35">
      <c r="A16" t="s">
        <v>20</v>
      </c>
    </row>
  </sheetData>
  <conditionalFormatting sqref="C2:I14">
    <cfRule type="cellIs" dxfId="0" priority="1" operator="greaterThanOrEqual">
      <formula>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7A0457-6434-4BCB-97EB-81F7AA5DF7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7B_GDPPC_decade_PTvsWE</vt:lpstr>
      <vt:lpstr>7B_GDPPC_decade_PTvsWEall</vt:lpstr>
      <vt:lpstr>Portugal diff WE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Pereira de Brito Líbano Monteiro</dc:creator>
  <cp:lastModifiedBy>Rita Pereira de Brito Líbano Monteiro</cp:lastModifiedBy>
  <dcterms:created xsi:type="dcterms:W3CDTF">2026-10-21T09:17:37Z</dcterms:created>
  <dcterms:modified xsi:type="dcterms:W3CDTF">2026-10-21T12:59:47Z</dcterms:modified>
</cp:coreProperties>
</file>